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a26536d60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dd253d238265436d"/>
    <x:sheet xmlns:r="http://schemas.openxmlformats.org/officeDocument/2006/relationships" name="Ativos" sheetId="2" r:id="R6612033a998b4e87"/>
    <x:sheet xmlns:r="http://schemas.openxmlformats.org/officeDocument/2006/relationships" name="Dados_Mercado" sheetId="3" r:id="R870e16f6e0204248"/>
    <x:sheet xmlns:r="http://schemas.openxmlformats.org/officeDocument/2006/relationships" name="Dados_FII_CVM" sheetId="4" r:id="R85c50fad0ba24ad5"/>
    <x:sheet xmlns:r="http://schemas.openxmlformats.org/officeDocument/2006/relationships" name="Perguntas" sheetId="5" r:id="R367be59602544937"/>
    <x:sheet xmlns:r="http://schemas.openxmlformats.org/officeDocument/2006/relationships" name="Rubrica" sheetId="6" r:id="Rc05df230d1174774"/>
    <x:sheet xmlns:r="http://schemas.openxmlformats.org/officeDocument/2006/relationships" name="Fontes" sheetId="7" r:id="R07f6674833e6416b"/>
    <x:sheet xmlns:r="http://schemas.openxmlformats.org/officeDocument/2006/relationships" name="Resumo" sheetId="8" r:id="R363fdb1bd1f247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dd/mm/yyyy hh:mm"/>
    <x:numFmt numFmtId="202" formatCode="#,##0.0000"/>
    <x:numFmt numFmtId="203" formatCode="#,##0"/>
    <x:numFmt numFmtId="204" formatCode="#,##0.00"/>
    <x:numFmt numFmtId="205" formatCode="0.00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30"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8" xfId="0" applyNumberFormat="1" applyFont="1" applyFill="1" applyBorder="1"/>
    <x:xf numFmtId="0" fontId="4" fillId="2" borderId="9" xfId="0" applyNumberFormat="1" applyFont="1" applyFill="1" applyBorder="1"/>
    <x:xf numFmtId="0" fontId="4" fillId="2" borderId="10" xfId="0" applyNumberFormat="1" applyFont="1" applyFill="1" applyBorder="1"/>
    <x:xf numFmtId="0" fontId="4" fillId="2" borderId="8" xfId="0" applyNumberFormat="1" applyFont="1" applyFill="1" applyBorder="1" applyAlignment="1">
      <x:alignment wrapText="1"/>
    </x:xf>
    <x:xf numFmtId="0" fontId="4" fillId="2" borderId="9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9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1" xfId="0" applyNumberFormat="1" applyFont="1" applyFill="1" applyBorder="1"/>
    <x:xf numFmtId="0" fontId="4" fillId="2" borderId="12" xfId="0" applyNumberFormat="1" applyFont="1" applyFill="1" applyBorder="1"/>
    <x:xf numFmtId="0" fontId="4" fillId="2" borderId="13" xfId="0" applyNumberFormat="1" applyFont="1" applyFill="1" applyBorder="1"/>
    <x:xf numFmtId="0" fontId="4" fillId="2" borderId="11" xfId="0" applyNumberFormat="1" applyFont="1" applyFill="1" applyBorder="1" applyAlignment="1">
      <x:alignment wrapText="1"/>
    </x:xf>
    <x:xf numFmtId="0" fontId="4" fillId="2" borderId="12" xfId="0" applyNumberFormat="1" applyFont="1" applyFill="1" applyBorder="1" applyAlignment="1">
      <x:alignment wrapText="1"/>
    </x:xf>
    <x:xf numFmtId="0" fontId="4" fillId="2" borderId="13" xfId="0" applyNumberFormat="1" applyFont="1" applyFill="1" applyBorder="1" applyAlignment="1">
      <x:alignment wrapText="1"/>
    </x:xf>
    <x:xf numFmtId="0" fontId="4" fillId="2" borderId="11" xfId="0" applyNumberFormat="1" applyFont="1" applyFill="1" applyBorder="1" applyAlignment="1">
      <x:alignment horizontal="center" wrapText="1"/>
    </x:xf>
    <x:xf numFmtId="0" fontId="4" fillId="2" borderId="12" xfId="0" applyNumberFormat="1" applyFont="1" applyFill="1" applyBorder="1" applyAlignment="1">
      <x:alignment horizontal="center" wrapText="1"/>
    </x:xf>
    <x:xf numFmtId="0" fontId="4" fillId="2" borderId="13" xfId="0" applyNumberFormat="1" applyFont="1" applyFill="1" applyBorder="1" applyAlignment="1">
      <x:alignment horizont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4" fillId="2" borderId="12" xfId="0" applyNumberFormat="1" applyFont="1" applyFill="1" applyBorder="1" applyAlignment="1">
      <x:alignment horizontal="center" vertical="center" wrapText="1"/>
    </x:xf>
    <x:xf numFmtId="0" fontId="4" fillId="2" borderId="1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0" fontId="5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5" fillId="0" borderId="25" xfId="0" applyNumberFormat="1" applyFont="1" applyFill="1" applyBorder="1"/>
    <x:xf numFmtId="0" fontId="5" fillId="0" borderId="26" xfId="0" applyNumberFormat="1" applyFont="1" applyFill="1" applyBorder="1"/>
    <x:xf numFmtId="0" fontId="5" fillId="0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22" xfId="0" applyNumberFormat="1" applyFont="1" applyFill="1" applyBorder="1" applyAlignment="1">
      <x:alignment vertical="center"/>
    </x:xf>
    <x:xf numFmtId="0" fontId="5" fillId="0" borderId="23" xfId="0" applyNumberFormat="1" applyFont="1" applyFill="1" applyBorder="1" applyAlignment="1">
      <x:alignment vertical="center"/>
    </x:xf>
    <x:xf numFmtId="0" fontId="5" fillId="0" borderId="24" xfId="0" applyNumberFormat="1" applyFont="1" applyFill="1" applyBorder="1" applyAlignment="1">
      <x:alignment vertical="center"/>
    </x:xf>
    <x:xf numFmtId="0" fontId="5" fillId="0" borderId="25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6" xfId="0" applyNumberFormat="1" applyFont="1" applyFill="1" applyBorder="1" applyAlignment="1">
      <x:alignment vertical="center"/>
    </x:xf>
    <x:xf numFmtId="0" fontId="5" fillId="0" borderId="27" xfId="0" applyNumberFormat="1" applyFont="1" applyFill="1" applyBorder="1" applyAlignment="1">
      <x:alignment vertical="center"/>
    </x:xf>
    <x:xf numFmtId="0" fontId="5" fillId="0" borderId="28" xfId="0" applyNumberFormat="1" applyFont="1" applyFill="1" applyBorder="1" applyAlignment="1">
      <x:alignment vertical="center"/>
    </x:xf>
    <x:xf numFmtId="0" fontId="5" fillId="0" borderId="29" xfId="0" applyNumberFormat="1" applyFont="1" applyFill="1" applyBorder="1" applyAlignment="1">
      <x:alignment vertical="center"/>
    </x:xf>
    <x:xf numFmtId="200" fontId="5" fillId="0" borderId="15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0" xfId="0" applyNumberFormat="1" applyFont="1" applyFill="1" applyBorder="1" applyAlignment="1">
      <x:alignment vertical="center"/>
    </x:xf>
    <x:xf numFmtId="200" fontId="5" fillId="0" borderId="23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5" fillId="0" borderId="28" xfId="0" applyNumberFormat="1" applyFont="1" applyFill="1" applyBorder="1" applyAlignment="1">
      <x:alignment vertical="center"/>
    </x:xf>
    <x:xf numFmtId="201" fontId="5" fillId="0" borderId="15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20" xfId="0" applyNumberFormat="1" applyFont="1" applyFill="1" applyBorder="1" applyAlignment="1">
      <x:alignment vertical="center"/>
    </x:xf>
    <x:xf numFmtId="201" fontId="5" fillId="0" borderId="23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28" xfId="0" applyNumberFormat="1" applyFont="1" applyFill="1" applyBorder="1" applyAlignment="1">
      <x:alignment vertical="center"/>
    </x:xf>
    <x:xf numFmtId="202" fontId="5" fillId="0" borderId="15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20" xfId="0" applyNumberFormat="1" applyFont="1" applyFill="1" applyBorder="1" applyAlignment="1">
      <x:alignment vertical="center"/>
    </x:xf>
    <x:xf numFmtId="202" fontId="5" fillId="0" borderId="23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28" xfId="0" applyNumberFormat="1" applyFont="1" applyFill="1" applyBorder="1" applyAlignment="1">
      <x:alignment vertical="center"/>
    </x:xf>
    <x:xf numFmtId="203" fontId="5" fillId="0" borderId="15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20" xfId="0" applyNumberFormat="1" applyFont="1" applyFill="1" applyBorder="1" applyAlignment="1">
      <x:alignment vertical="center"/>
    </x:xf>
    <x:xf numFmtId="203" fontId="5" fillId="0" borderId="23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28" xfId="0" applyNumberFormat="1" applyFont="1" applyFill="1" applyBorder="1" applyAlignment="1">
      <x:alignment vertical="center"/>
    </x:xf>
    <x:xf numFmtId="204" fontId="5" fillId="0" borderId="15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4" fontId="5" fillId="0" borderId="20" xfId="0" applyNumberFormat="1" applyFont="1" applyFill="1" applyBorder="1" applyAlignment="1">
      <x:alignment vertical="center"/>
    </x:xf>
    <x:xf numFmtId="204" fontId="5" fillId="0" borderId="23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4" fontId="5" fillId="0" borderId="28" xfId="0" applyNumberFormat="1" applyFont="1" applyFill="1" applyBorder="1" applyAlignment="1">
      <x:alignment vertical="center"/>
    </x:xf>
    <x:xf numFmtId="205" fontId="5" fillId="0" borderId="15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5" fontId="5" fillId="0" borderId="20" xfId="0" applyNumberFormat="1" applyFont="1" applyFill="1" applyBorder="1" applyAlignment="1">
      <x:alignment vertical="center"/>
    </x:xf>
    <x:xf numFmtId="205" fontId="5" fillId="0" borderId="23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5" fontId="5" fillId="0" borderId="28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 wrapText="1"/>
    </x:xf>
    <x:xf numFmtId="202" fontId="5" fillId="0" borderId="15" xfId="0" applyNumberFormat="1" applyFont="1" applyFill="1" applyBorder="1" applyAlignment="1">
      <x:alignment vertical="center" wrapText="1"/>
    </x:xf>
    <x:xf numFmtId="205" fontId="5" fillId="0" borderId="15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  <x:xf numFmtId="0" fontId="5" fillId="0" borderId="18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202" fontId="5" fillId="0" borderId="20" xfId="0" applyNumberFormat="1" applyFont="1" applyFill="1" applyBorder="1" applyAlignment="1">
      <x:alignment vertical="center" wrapText="1"/>
    </x:xf>
    <x:xf numFmtId="205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202" fontId="5" fillId="0" borderId="23" xfId="0" applyNumberFormat="1" applyFont="1" applyFill="1" applyBorder="1" applyAlignment="1">
      <x:alignment vertical="center" wrapText="1"/>
    </x:xf>
    <x:xf numFmtId="205" fontId="5" fillId="0" borderId="23" xfId="0" applyNumberFormat="1" applyFont="1" applyFill="1" applyBorder="1" applyAlignment="1">
      <x:alignment vertical="center" wrapText="1"/>
    </x:xf>
    <x:xf numFmtId="0" fontId="5" fillId="0" borderId="24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0" fontId="5" fillId="0" borderId="26" xfId="0" applyNumberFormat="1" applyFont="1" applyFill="1" applyBorder="1" applyAlignment="1">
      <x:alignment vertical="center" wrapText="1"/>
    </x:xf>
    <x:xf numFmtId="0" fontId="5" fillId="0" borderId="28" xfId="0" applyNumberFormat="1" applyFont="1" applyFill="1" applyBorder="1" applyAlignment="1">
      <x:alignment vertical="center" wrapText="1"/>
    </x:xf>
    <x:xf numFmtId="202" fontId="5" fillId="0" borderId="28" xfId="0" applyNumberFormat="1" applyFont="1" applyFill="1" applyBorder="1" applyAlignment="1">
      <x:alignment vertical="center" wrapText="1"/>
    </x:xf>
    <x:xf numFmtId="205" fontId="5" fillId="0" borderId="28" xfId="0" applyNumberFormat="1" applyFont="1" applyFill="1" applyBorder="1" applyAlignment="1">
      <x:alignment vertical="center" wrapText="1"/>
    </x:xf>
    <x:xf numFmtId="0" fontId="5" fillId="0" borderId="29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5" fillId="0" borderId="17" xfId="0" applyNumberFormat="1" applyFont="1" applyFill="1" applyBorder="1" applyAlignment="1">
      <x:alignment vertical="center" wrapText="1"/>
    </x:xf>
    <x:xf numFmtId="0" fontId="5" fillId="0" borderId="19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5" fillId="0" borderId="27" xfId="0" applyNumberFormat="1" applyFont="1" applyFill="1" applyBorder="1" applyAlignment="1">
      <x:alignment vertical="center" wrapText="1"/>
    </x:xf>
    <x:xf numFmtId="200" fontId="5" fillId="0" borderId="15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20" xfId="0" applyNumberFormat="1" applyFont="1" applyFill="1" applyBorder="1" applyAlignment="1">
      <x:alignment vertical="center" wrapText="1"/>
    </x:xf>
    <x:xf numFmtId="200" fontId="5" fillId="0" borderId="23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28" xfId="0" applyNumberFormat="1" applyFont="1" applyFill="1" applyBorder="1" applyAlignment="1">
      <x:alignment vertical="center" wrapText="1"/>
    </x:xf>
    <x:xf numFmtId="0" fontId="5" fillId="4" borderId="14" xfId="0" applyNumberFormat="1" applyFont="1" applyFill="1" applyBorder="1" applyAlignment="1">
      <x:alignment vertical="center"/>
    </x:xf>
    <x:xf numFmtId="0" fontId="5" fillId="4" borderId="17" xfId="0" applyNumberFormat="1" applyFont="1" applyFill="1" applyBorder="1" applyAlignment="1">
      <x:alignment vertical="center"/>
    </x:xf>
    <x:xf numFmtId="0" fontId="5" fillId="4" borderId="19" xfId="0" applyNumberFormat="1" applyFont="1" applyFill="1" applyBorder="1" applyAlignment="1">
      <x:alignment vertical="center"/>
    </x:xf>
    <x:xf numFmtId="0" fontId="3" fillId="4" borderId="14" xfId="0" applyNumberFormat="1" applyFont="1" applyFill="1" applyBorder="1" applyAlignment="1">
      <x:alignment vertical="center"/>
    </x:xf>
    <x:xf numFmtId="0" fontId="3" fillId="4" borderId="17" xfId="0" applyNumberFormat="1" applyFont="1" applyFill="1" applyBorder="1" applyAlignment="1">
      <x:alignment vertical="center"/>
    </x:xf>
    <x:xf numFmtId="0" fontId="3" fillId="4" borderId="19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5" fillId="4" borderId="22" xfId="0" applyNumberFormat="1" applyFont="1" applyFill="1" applyBorder="1" applyAlignment="1">
      <x:alignment vertical="center"/>
    </x:xf>
    <x:xf numFmtId="0" fontId="5" fillId="4" borderId="25" xfId="0" applyNumberFormat="1" applyFont="1" applyFill="1" applyBorder="1" applyAlignment="1">
      <x:alignment vertical="center"/>
    </x:xf>
    <x:xf numFmtId="0" fontId="5" fillId="4" borderId="27" xfId="0" applyNumberFormat="1" applyFont="1" applyFill="1" applyBorder="1" applyAlignment="1">
      <x:alignment vertical="center"/>
    </x:xf>
    <x:xf numFmtId="0" fontId="3" fillId="4" borderId="22" xfId="0" applyNumberFormat="1" applyFont="1" applyFill="1" applyBorder="1" applyAlignment="1">
      <x:alignment vertical="center"/>
    </x:xf>
    <x:xf numFmtId="0" fontId="3" fillId="4" borderId="25" xfId="0" applyNumberFormat="1" applyFont="1" applyFill="1" applyBorder="1" applyAlignment="1">
      <x:alignment vertical="center"/>
    </x:xf>
    <x:xf numFmtId="0" fontId="3" fillId="4" borderId="27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f08824b9a4ac1" /><Relationship Type="http://schemas.openxmlformats.org/officeDocument/2006/relationships/theme" Target="/xl/theme/theme1.xml" Id="R45a85cf876c04182" /><Relationship Type="http://schemas.openxmlformats.org/officeDocument/2006/relationships/sharedStrings" Target="/xl/sharedStrings.xml" Id="R745fc7c3c0174608" /><Relationship Type="http://schemas.openxmlformats.org/officeDocument/2006/relationships/worksheet" Target="/xl/worksheets/sheet1.xml" Id="Rdd253d238265436d" /><Relationship Type="http://schemas.openxmlformats.org/officeDocument/2006/relationships/worksheet" Target="/xl/worksheets/sheet2.xml" Id="R6612033a998b4e87" /><Relationship Type="http://schemas.openxmlformats.org/officeDocument/2006/relationships/worksheet" Target="/xl/worksheets/sheet3.xml" Id="R870e16f6e0204248" /><Relationship Type="http://schemas.openxmlformats.org/officeDocument/2006/relationships/worksheet" Target="/xl/worksheets/sheet4.xml" Id="R85c50fad0ba24ad5" /><Relationship Type="http://schemas.openxmlformats.org/officeDocument/2006/relationships/worksheet" Target="/xl/worksheets/sheet5.xml" Id="R367be59602544937" /><Relationship Type="http://schemas.openxmlformats.org/officeDocument/2006/relationships/worksheet" Target="/xl/worksheets/sheet6.xml" Id="Rc05df230d1174774" /><Relationship Type="http://schemas.openxmlformats.org/officeDocument/2006/relationships/worksheet" Target="/xl/worksheets/sheet7.xml" Id="R07f6674833e6416b" /><Relationship Type="http://schemas.openxmlformats.org/officeDocument/2006/relationships/worksheet" Target="/xl/worksheets/sheet8.xml" Id="R363fdb1bd1f247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fdb9ec0b20407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Questões planejadas por categoria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Qtd. planejada</c:v>
          </c:tx>
          <c:cat>
            <c:strRef>
              <c:f>'Resumo'!$D$4:$D$8</c:f>
              <c:strCache>
                <c:ptCount val="0"/>
              </c:strCache>
            </c:strRef>
          </c:cat>
          <c:val>
            <c:numRef>
              <c:f>'Resumo'!$E$4:$E$8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fdb9ec0b20407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ivosTable" displayName="AtivosTable" ref="A3:H15" headerRowCount="1" totalsRowCount="0" totalsRowShown="0">
  <x:tableColumns count="8">
    <x:tableColumn id="1" name="Ticker"/>
    <x:tableColumn id="2" name="Nome/Descrição"/>
    <x:tableColumn id="3" name="Tipo"/>
    <x:tableColumn id="4" name="Segmento"/>
    <x:tableColumn id="5" name="Benchmark"/>
    <x:tableColumn id="6" name="Usar no Experimento?"/>
    <x:tableColumn id="7" name="Fonte Preferencial"/>
    <x:tableColumn id="8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cb5de1a35a4c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6f236ffcba04de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5" t="str">
        <x:v>Dataset Experimental — Engenharia de Prompt + Agente Financeiro</x:v>
      </x:c>
    </x:row>
    <x:row r="3">
      <x:c r="A3" s="15" t="str">
        <x:v>Objetivo</x:v>
      </x:c>
      <x:c r="B3" s="29" t="str">
        <x:v>Esta planilha organiza dados reais de ações/FIIs, snapshots experimentais, perguntas do benchmark e critérios de avaliação.</x:v>
      </x:c>
    </x:row>
    <x:row r="4">
      <x:c r="A4" s="16" t="str">
        <x:v>Fluxo recomendado</x:v>
      </x:c>
      <x:c r="B4" s="30" t="str">
        <x:v>1) Definir ativos → 2) importar dados reais → 3) validar snapshots → 4) preencher perguntas → 5) congelar dataset → 6) executar modelos/agente.</x:v>
      </x:c>
    </x:row>
    <x:row r="5">
      <x:c r="A5" s="16" t="str">
        <x:v>Dados reais</x:v>
      </x:c>
      <x:c r="B5" s="30" t="str">
        <x:v>Use cotações históricas reais para ações/FIIs e dados oficiais da CVM para informações periódicas de FIIs.</x:v>
      </x:c>
    </x:row>
    <x:row r="6">
      <x:c r="A6" s="16" t="str">
        <x:v>Regra experimental</x:v>
      </x:c>
      <x:c r="B6" s="30" t="str">
        <x:v>Depois de congelado o snapshot, zero-shot, few-shot e raciocínio estruturado devem receber os mesmos dados e perguntas.</x:v>
      </x:c>
    </x:row>
    <x:row r="7">
      <x:c r="A7" s="16" t="str">
        <x:v>Não alterar após início</x:v>
      </x:c>
      <x:c r="B7" s="30" t="str">
        <x:v>Após iniciar a coleta final, não altere perguntas, gabaritos, snapshots ou versões de prompt sem criar uma nova versão do experimento.</x:v>
      </x:c>
    </x:row>
    <x:row r="8">
      <x:c r="A8" s="16" t="str">
        <x:v>Gabarito</x:v>
      </x:c>
      <x:c r="B8" s="30" t="str">
        <x:v>Questões factuais e de cálculo podem ter gabarito automático. Questões interpretativas devem usar fatos obrigatórios + rubrica.</x:v>
      </x:c>
    </x:row>
    <x:row r="9">
      <x:c r="A9" s="16" t="str">
        <x:v>Datas</x:v>
      </x:c>
      <x:c r="B9" s="30" t="str">
        <x:v>Preencha datas como datas reais do Excel, não como texto.</x:v>
      </x:c>
    </x:row>
    <x:row r="10">
      <x:c r="A10" s="17" t="str">
        <x:v>Fontes</x:v>
      </x:c>
      <x:c r="B10" s="31" t="str">
        <x:v>Registre URL e data de coleta em todas as linhas importadas.</x:v>
      </x:c>
    </x:row>
    <x:row r="12">
      <x:c r="A12" s="38" t="str">
        <x:v>Abas da planilha</x:v>
      </x:c>
      <x:c r="B12" s="38"/>
      <x:c r="C12" s="38"/>
      <x:c r="D12" s="38"/>
      <x:c r="E12" s="38"/>
      <x:c r="F12" s="38"/>
      <x:c r="G12" s="38"/>
      <x:c r="H12" s="38"/>
    </x:row>
    <x:row r="13">
      <x:c r="A13" s="44" t="str">
        <x:v>Resumo</x:v>
      </x:c>
      <x:c r="B13" s="45" t="str">
        <x:v>Visão geral de preenchimento e planejamento do benchmark.</x:v>
      </x:c>
    </x:row>
    <x:row r="14">
      <x:c r="A14" s="44" t="str">
        <x:v>Ativos</x:v>
      </x:c>
      <x:c r="B14" s="45" t="str">
        <x:v>Universo de ações, FIIs e índices usados na pesquisa.</x:v>
      </x:c>
    </x:row>
    <x:row r="15">
      <x:c r="A15" s="44" t="str">
        <x:v>Dados_Mercado</x:v>
      </x:c>
      <x:c r="B15" s="45" t="str">
        <x:v>OHLCV, fechamento, dividendos e fonte por data/ticker.</x:v>
      </x:c>
    </x:row>
    <x:row r="16">
      <x:c r="A16" s="44" t="str">
        <x:v>Dados_FII_CVM</x:v>
      </x:c>
      <x:c r="B16" s="45" t="str">
        <x:v>Dados periódicos dos FIIs (PL, cotistas, cotas, VP/cota etc.).</x:v>
      </x:c>
    </x:row>
    <x:row r="17">
      <x:c r="A17" s="44" t="str">
        <x:v>Perguntas</x:v>
      </x:c>
      <x:c r="B17" s="45" t="str">
        <x:v>30 questões planejadas, gabaritos e critérios de avaliação.</x:v>
      </x:c>
    </x:row>
    <x:row r="18">
      <x:c r="A18" s="44" t="str">
        <x:v>Rubrica</x:v>
      </x:c>
      <x:c r="B18" s="45" t="str">
        <x:v>Definições das métricas e escala de avaliação humana.</x:v>
      </x:c>
    </x:row>
    <x:row r="19">
      <x:c r="A19" s="44" t="str">
        <x:v>Fontes</x:v>
      </x:c>
      <x:c r="B19" s="45" t="str">
        <x:v>Catálogo das fontes utilizadas e URLs.</x:v>
      </x:c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2" hidden="0" customWidth="1"/>
    <x:col min="4" max="4" width="24" hidden="0" customWidth="1"/>
    <x:col min="5" max="5" width="12" hidden="0" customWidth="1"/>
    <x:col min="6" max="6" width="20" hidden="0" customWidth="1"/>
    <x:col min="7" max="7" width="20" hidden="0" customWidth="1"/>
    <x:col min="8" max="8" width="34" hidden="0" customWidth="1"/>
  </x:cols>
  <x:sheetData>
    <x:row r="1" ht="28" customHeight="1">
      <x:c r="A1" s="5" t="str">
        <x:v>Universo de Ativos da Pesquisa</x:v>
      </x:c>
    </x:row>
    <x:row r="3" ht="28" customHeight="1">
      <x:c r="A3" s="58" t="str">
        <x:v>Ticker</x:v>
      </x:c>
      <x:c r="B3" s="59" t="str">
        <x:v>Nome/Descrição</x:v>
      </x:c>
      <x:c r="C3" s="59" t="str">
        <x:v>Tipo</x:v>
      </x:c>
      <x:c r="D3" s="59" t="str">
        <x:v>Segmento</x:v>
      </x:c>
      <x:c r="E3" s="59" t="str">
        <x:v>Benchmark</x:v>
      </x:c>
      <x:c r="F3" s="59" t="str">
        <x:v>Usar no Experimento?</x:v>
      </x:c>
      <x:c r="G3" s="59" t="str">
        <x:v>Fonte Preferencial</x:v>
      </x:c>
      <x:c r="H3" s="60" t="str">
        <x:v>Observações</x:v>
      </x:c>
    </x:row>
    <x:row r="4">
      <x:c r="A4" s="83" t="str">
        <x:v>PETR4</x:v>
      </x:c>
      <x:c r="B4" s="84" t="str">
        <x:v>Petróleo Brasileiro S.A. - Petrobras PN</x:v>
      </x:c>
      <x:c r="C4" s="84" t="str">
        <x:v>Ação</x:v>
      </x:c>
      <x:c r="D4" s="84" t="str">
        <x:v>Petróleo e gás</x:v>
      </x:c>
      <x:c r="E4" s="84" t="str">
        <x:v>IBOV</x:v>
      </x:c>
      <x:c r="F4" s="84" t="str">
        <x:v>Sim</x:v>
      </x:c>
      <x:c r="G4" s="84" t="str">
        <x:v>Brapi/B3</x:v>
      </x:c>
      <x:c r="H4" s="85" t="str"/>
    </x:row>
    <x:row r="5">
      <x:c r="A5" s="86" t="str">
        <x:v>VALE3</x:v>
      </x:c>
      <x:c r="B5" s="87" t="str">
        <x:v>Vale S.A. ON</x:v>
      </x:c>
      <x:c r="C5" s="87" t="str">
        <x:v>Ação</x:v>
      </x:c>
      <x:c r="D5" s="87" t="str">
        <x:v>Mineração</x:v>
      </x:c>
      <x:c r="E5" s="87" t="str">
        <x:v>IBOV</x:v>
      </x:c>
      <x:c r="F5" s="87" t="str">
        <x:v>Sim</x:v>
      </x:c>
      <x:c r="G5" s="87" t="str">
        <x:v>Brapi/B3</x:v>
      </x:c>
      <x:c r="H5" s="88" t="str"/>
    </x:row>
    <x:row r="6">
      <x:c r="A6" s="86" t="str">
        <x:v>ITUB4</x:v>
      </x:c>
      <x:c r="B6" s="87" t="str">
        <x:v>Itaú Unibanco PN</x:v>
      </x:c>
      <x:c r="C6" s="87" t="str">
        <x:v>Ação</x:v>
      </x:c>
      <x:c r="D6" s="87" t="str">
        <x:v>Financeiro</x:v>
      </x:c>
      <x:c r="E6" s="87" t="str">
        <x:v>IBOV</x:v>
      </x:c>
      <x:c r="F6" s="87" t="str">
        <x:v>Sim</x:v>
      </x:c>
      <x:c r="G6" s="87" t="str">
        <x:v>Brapi/B3</x:v>
      </x:c>
      <x:c r="H6" s="88" t="str"/>
    </x:row>
    <x:row r="7">
      <x:c r="A7" s="86" t="str">
        <x:v>BBAS3</x:v>
      </x:c>
      <x:c r="B7" s="87" t="str">
        <x:v>Banco do Brasil ON</x:v>
      </x:c>
      <x:c r="C7" s="87" t="str">
        <x:v>Ação</x:v>
      </x:c>
      <x:c r="D7" s="87" t="str">
        <x:v>Financeiro</x:v>
      </x:c>
      <x:c r="E7" s="87" t="str">
        <x:v>IBOV</x:v>
      </x:c>
      <x:c r="F7" s="87" t="str">
        <x:v>Sim</x:v>
      </x:c>
      <x:c r="G7" s="87" t="str">
        <x:v>Brapi/B3</x:v>
      </x:c>
      <x:c r="H7" s="88" t="str"/>
    </x:row>
    <x:row r="8">
      <x:c r="A8" s="86" t="str">
        <x:v>WEGE3</x:v>
      </x:c>
      <x:c r="B8" s="87" t="str">
        <x:v>WEG ON</x:v>
      </x:c>
      <x:c r="C8" s="87" t="str">
        <x:v>Ação</x:v>
      </x:c>
      <x:c r="D8" s="87" t="str">
        <x:v>Indústria</x:v>
      </x:c>
      <x:c r="E8" s="87" t="str">
        <x:v>IBOV</x:v>
      </x:c>
      <x:c r="F8" s="87" t="str">
        <x:v>Sim</x:v>
      </x:c>
      <x:c r="G8" s="87" t="str">
        <x:v>Brapi/B3</x:v>
      </x:c>
      <x:c r="H8" s="88" t="str"/>
    </x:row>
    <x:row r="9">
      <x:c r="A9" s="86" t="str">
        <x:v>HGLG11</x:v>
      </x:c>
      <x:c r="B9" s="87" t="str">
        <x:v>CSHG Logística FII</x:v>
      </x:c>
      <x:c r="C9" s="87" t="str">
        <x:v>FII</x:v>
      </x:c>
      <x:c r="D9" s="87" t="str">
        <x:v>Logística</x:v>
      </x:c>
      <x:c r="E9" s="87" t="str">
        <x:v>IFIX</x:v>
      </x:c>
      <x:c r="F9" s="87" t="str">
        <x:v>Sim</x:v>
      </x:c>
      <x:c r="G9" s="87" t="str">
        <x:v>Brapi/CVM</x:v>
      </x:c>
      <x:c r="H9" s="88" t="str"/>
    </x:row>
    <x:row r="10">
      <x:c r="A10" s="86" t="str">
        <x:v>MXRF11</x:v>
      </x:c>
      <x:c r="B10" s="87" t="str">
        <x:v>Maxi Renda FII</x:v>
      </x:c>
      <x:c r="C10" s="87" t="str">
        <x:v>FII</x:v>
      </x:c>
      <x:c r="D10" s="87" t="str">
        <x:v>Papel/Multiestratégia</x:v>
      </x:c>
      <x:c r="E10" s="87" t="str">
        <x:v>IFIX</x:v>
      </x:c>
      <x:c r="F10" s="87" t="str">
        <x:v>Sim</x:v>
      </x:c>
      <x:c r="G10" s="87" t="str">
        <x:v>Brapi/CVM</x:v>
      </x:c>
      <x:c r="H10" s="88" t="str"/>
    </x:row>
    <x:row r="11">
      <x:c r="A11" s="86" t="str">
        <x:v>KNRI11</x:v>
      </x:c>
      <x:c r="B11" s="87" t="str">
        <x:v>Kinea Renda Imobiliária FII</x:v>
      </x:c>
      <x:c r="C11" s="87" t="str">
        <x:v>FII</x:v>
      </x:c>
      <x:c r="D11" s="87" t="str">
        <x:v>Híbrido</x:v>
      </x:c>
      <x:c r="E11" s="87" t="str">
        <x:v>IFIX</x:v>
      </x:c>
      <x:c r="F11" s="87" t="str">
        <x:v>Sim</x:v>
      </x:c>
      <x:c r="G11" s="87" t="str">
        <x:v>Brapi/CVM</x:v>
      </x:c>
      <x:c r="H11" s="88" t="str"/>
    </x:row>
    <x:row r="12">
      <x:c r="A12" s="86" t="str">
        <x:v>XPML11</x:v>
      </x:c>
      <x:c r="B12" s="87" t="str">
        <x:v>XP Malls FII</x:v>
      </x:c>
      <x:c r="C12" s="87" t="str">
        <x:v>FII</x:v>
      </x:c>
      <x:c r="D12" s="87" t="str">
        <x:v>Shoppings</x:v>
      </x:c>
      <x:c r="E12" s="87" t="str">
        <x:v>IFIX</x:v>
      </x:c>
      <x:c r="F12" s="87" t="str">
        <x:v>Sim</x:v>
      </x:c>
      <x:c r="G12" s="87" t="str">
        <x:v>Brapi/CVM</x:v>
      </x:c>
      <x:c r="H12" s="88" t="str"/>
    </x:row>
    <x:row r="13">
      <x:c r="A13" s="86" t="str">
        <x:v>VISC11</x:v>
      </x:c>
      <x:c r="B13" s="87" t="str">
        <x:v>Vinci Shopping Centers FII</x:v>
      </x:c>
      <x:c r="C13" s="87" t="str">
        <x:v>FII</x:v>
      </x:c>
      <x:c r="D13" s="87" t="str">
        <x:v>Shoppings</x:v>
      </x:c>
      <x:c r="E13" s="87" t="str">
        <x:v>IFIX</x:v>
      </x:c>
      <x:c r="F13" s="87" t="str">
        <x:v>Sim</x:v>
      </x:c>
      <x:c r="G13" s="87" t="str">
        <x:v>Brapi/CVM</x:v>
      </x:c>
      <x:c r="H13" s="88" t="str"/>
    </x:row>
    <x:row r="14">
      <x:c r="A14" s="86" t="str">
        <x:v>IBOV</x:v>
      </x:c>
      <x:c r="B14" s="87" t="str">
        <x:v>Índice Bovespa</x:v>
      </x:c>
      <x:c r="C14" s="87" t="str">
        <x:v>Índice</x:v>
      </x:c>
      <x:c r="D14" s="87" t="str">
        <x:v>Ações</x:v>
      </x:c>
      <x:c r="E14" s="87" t="str"/>
      <x:c r="F14" s="87" t="str">
        <x:v>Sim</x:v>
      </x:c>
      <x:c r="G14" s="87" t="str">
        <x:v>B3</x:v>
      </x:c>
      <x:c r="H14" s="88" t="str">
        <x:v>Benchmark para ações</x:v>
      </x:c>
    </x:row>
    <x:row r="15">
      <x:c r="A15" s="89" t="str">
        <x:v>IFIX</x:v>
      </x:c>
      <x:c r="B15" s="90" t="str">
        <x:v>Índice de Fundos de Investimentos Imobiliários</x:v>
      </x:c>
      <x:c r="C15" s="90" t="str">
        <x:v>Índice</x:v>
      </x:c>
      <x:c r="D15" s="90" t="str">
        <x:v>FIIs</x:v>
      </x:c>
      <x:c r="E15" s="90" t="str"/>
      <x:c r="F15" s="90" t="str">
        <x:v>Sim</x:v>
      </x:c>
      <x:c r="G15" s="90" t="str">
        <x:v>B3</x:v>
      </x:c>
      <x:c r="H15" s="91" t="str">
        <x:v>Benchmark para FIIs</x:v>
      </x:c>
    </x:row>
  </x:sheetData>
  <x:mergeCells>
    <x:mergeCell ref="A1:H1"/>
  </x:mergeCells>
  <x:dataValidations count="2">
    <x:dataValidation type="list" sqref="C4:C50">
      <x:formula1>"Ação,FII,Índice"</x:formula1>
    </x:dataValidation>
    <x:dataValidation type="list" sqref="F4:F50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cb5de1a35a4c3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5" hidden="0" customWidth="1"/>
    <x:col min="10" max="10" width="13" hidden="0" customWidth="1"/>
    <x:col min="11" max="11" width="10" hidden="0" customWidth="1"/>
    <x:col min="12" max="12" width="42" hidden="0" customWidth="1"/>
    <x:col min="13" max="13" width="20" hidden="0" customWidth="1"/>
    <x:col min="14" max="14" width="12" hidden="0" customWidth="1"/>
    <x:col min="15" max="15" width="32" hidden="0" customWidth="1"/>
  </x:cols>
  <x:sheetData>
    <x:row r="1" ht="28" customHeight="1">
      <x:c r="A1" s="5" t="str">
        <x:v>Dados Históricos de Mercado — Ações, FIIs e Índices</x:v>
      </x:c>
    </x:row>
    <x:row r="3" ht="28" customHeight="1">
      <x:c r="A3" s="58" t="str">
        <x:v>Snapshot_ID</x:v>
      </x:c>
      <x:c r="B3" s="59" t="str">
        <x:v>Ticker</x:v>
      </x:c>
      <x:c r="C3" s="59" t="str">
        <x:v>Tipo</x:v>
      </x:c>
      <x:c r="D3" s="59" t="str">
        <x:v>Data</x:v>
      </x:c>
      <x:c r="E3" s="59" t="str">
        <x:v>Abertura</x:v>
      </x:c>
      <x:c r="F3" s="59" t="str">
        <x:v>Máxima</x:v>
      </x:c>
      <x:c r="G3" s="59" t="str">
        <x:v>Mínima</x:v>
      </x:c>
      <x:c r="H3" s="59" t="str">
        <x:v>Fechamento</x:v>
      </x:c>
      <x:c r="I3" s="59" t="str">
        <x:v>Volume</x:v>
      </x:c>
      <x:c r="J3" s="59" t="str">
        <x:v>Dividendos</x:v>
      </x:c>
      <x:c r="K3" s="59" t="str">
        <x:v>Moeda</x:v>
      </x:c>
      <x:c r="L3" s="59" t="str">
        <x:v>Fonte_URL</x:v>
      </x:c>
      <x:c r="M3" s="59" t="str">
        <x:v>Data_Coleta</x:v>
      </x:c>
      <x:c r="N3" s="59" t="str">
        <x:v>Validado</x:v>
      </x:c>
      <x:c r="O3" s="60" t="str">
        <x:v>Observações</x:v>
      </x:c>
    </x:row>
    <x:row r="4">
      <x:c r="A4" s="83"/>
      <x:c r="B4" s="84"/>
      <x:c r="C4" s="84"/>
      <x:c r="D4" s="110"/>
      <x:c r="E4" s="122"/>
      <x:c r="F4" s="122"/>
      <x:c r="G4" s="122"/>
      <x:c r="H4" s="122"/>
      <x:c r="I4" s="128"/>
      <x:c r="J4" s="122"/>
      <x:c r="K4" s="84"/>
      <x:c r="L4" s="84"/>
      <x:c r="M4" s="116"/>
      <x:c r="N4" s="84"/>
      <x:c r="O4" s="85"/>
    </x:row>
    <x:row r="5">
      <x:c r="A5" s="86"/>
      <x:c r="B5" s="87"/>
      <x:c r="C5" s="87"/>
      <x:c r="D5" s="111"/>
      <x:c r="E5" s="123"/>
      <x:c r="F5" s="123"/>
      <x:c r="G5" s="123"/>
      <x:c r="H5" s="123"/>
      <x:c r="I5" s="129"/>
      <x:c r="J5" s="123"/>
      <x:c r="K5" s="87"/>
      <x:c r="L5" s="87"/>
      <x:c r="M5" s="117"/>
      <x:c r="N5" s="87"/>
      <x:c r="O5" s="88"/>
    </x:row>
    <x:row r="6">
      <x:c r="A6" s="86"/>
      <x:c r="B6" s="87"/>
      <x:c r="C6" s="87"/>
      <x:c r="D6" s="111"/>
      <x:c r="E6" s="123"/>
      <x:c r="F6" s="123"/>
      <x:c r="G6" s="123"/>
      <x:c r="H6" s="123"/>
      <x:c r="I6" s="129"/>
      <x:c r="J6" s="123"/>
      <x:c r="K6" s="87"/>
      <x:c r="L6" s="87"/>
      <x:c r="M6" s="117"/>
      <x:c r="N6" s="87"/>
      <x:c r="O6" s="88"/>
    </x:row>
    <x:row r="7">
      <x:c r="A7" s="86"/>
      <x:c r="B7" s="87"/>
      <x:c r="C7" s="87"/>
      <x:c r="D7" s="111"/>
      <x:c r="E7" s="123"/>
      <x:c r="F7" s="123"/>
      <x:c r="G7" s="123"/>
      <x:c r="H7" s="123"/>
      <x:c r="I7" s="129"/>
      <x:c r="J7" s="123"/>
      <x:c r="K7" s="87"/>
      <x:c r="L7" s="87"/>
      <x:c r="M7" s="117"/>
      <x:c r="N7" s="87"/>
      <x:c r="O7" s="88"/>
    </x:row>
    <x:row r="8">
      <x:c r="A8" s="86"/>
      <x:c r="B8" s="87"/>
      <x:c r="C8" s="87"/>
      <x:c r="D8" s="111"/>
      <x:c r="E8" s="123"/>
      <x:c r="F8" s="123"/>
      <x:c r="G8" s="123"/>
      <x:c r="H8" s="123"/>
      <x:c r="I8" s="129"/>
      <x:c r="J8" s="123"/>
      <x:c r="K8" s="87"/>
      <x:c r="L8" s="87"/>
      <x:c r="M8" s="117"/>
      <x:c r="N8" s="87"/>
      <x:c r="O8" s="88"/>
    </x:row>
    <x:row r="9">
      <x:c r="A9" s="86"/>
      <x:c r="B9" s="87"/>
      <x:c r="C9" s="87"/>
      <x:c r="D9" s="111"/>
      <x:c r="E9" s="123"/>
      <x:c r="F9" s="123"/>
      <x:c r="G9" s="123"/>
      <x:c r="H9" s="123"/>
      <x:c r="I9" s="129"/>
      <x:c r="J9" s="123"/>
      <x:c r="K9" s="87"/>
      <x:c r="L9" s="87"/>
      <x:c r="M9" s="117"/>
      <x:c r="N9" s="87"/>
      <x:c r="O9" s="88"/>
    </x:row>
    <x:row r="10">
      <x:c r="A10" s="86"/>
      <x:c r="B10" s="87"/>
      <x:c r="C10" s="87"/>
      <x:c r="D10" s="111"/>
      <x:c r="E10" s="123"/>
      <x:c r="F10" s="123"/>
      <x:c r="G10" s="123"/>
      <x:c r="H10" s="123"/>
      <x:c r="I10" s="129"/>
      <x:c r="J10" s="123"/>
      <x:c r="K10" s="87"/>
      <x:c r="L10" s="87"/>
      <x:c r="M10" s="117"/>
      <x:c r="N10" s="87"/>
      <x:c r="O10" s="88"/>
    </x:row>
    <x:row r="11">
      <x:c r="A11" s="86"/>
      <x:c r="B11" s="87"/>
      <x:c r="C11" s="87"/>
      <x:c r="D11" s="111"/>
      <x:c r="E11" s="123"/>
      <x:c r="F11" s="123"/>
      <x:c r="G11" s="123"/>
      <x:c r="H11" s="123"/>
      <x:c r="I11" s="129"/>
      <x:c r="J11" s="123"/>
      <x:c r="K11" s="87"/>
      <x:c r="L11" s="87"/>
      <x:c r="M11" s="117"/>
      <x:c r="N11" s="87"/>
      <x:c r="O11" s="88"/>
    </x:row>
    <x:row r="12">
      <x:c r="A12" s="86"/>
      <x:c r="B12" s="87"/>
      <x:c r="C12" s="87"/>
      <x:c r="D12" s="111"/>
      <x:c r="E12" s="123"/>
      <x:c r="F12" s="123"/>
      <x:c r="G12" s="123"/>
      <x:c r="H12" s="123"/>
      <x:c r="I12" s="129"/>
      <x:c r="J12" s="123"/>
      <x:c r="K12" s="87"/>
      <x:c r="L12" s="87"/>
      <x:c r="M12" s="117"/>
      <x:c r="N12" s="87"/>
      <x:c r="O12" s="88"/>
    </x:row>
    <x:row r="13">
      <x:c r="A13" s="86"/>
      <x:c r="B13" s="87"/>
      <x:c r="C13" s="87"/>
      <x:c r="D13" s="111"/>
      <x:c r="E13" s="123"/>
      <x:c r="F13" s="123"/>
      <x:c r="G13" s="123"/>
      <x:c r="H13" s="123"/>
      <x:c r="I13" s="129"/>
      <x:c r="J13" s="123"/>
      <x:c r="K13" s="87"/>
      <x:c r="L13" s="87"/>
      <x:c r="M13" s="117"/>
      <x:c r="N13" s="87"/>
      <x:c r="O13" s="88"/>
    </x:row>
    <x:row r="14">
      <x:c r="A14" s="86"/>
      <x:c r="B14" s="87"/>
      <x:c r="C14" s="87"/>
      <x:c r="D14" s="111"/>
      <x:c r="E14" s="123"/>
      <x:c r="F14" s="123"/>
      <x:c r="G14" s="123"/>
      <x:c r="H14" s="123"/>
      <x:c r="I14" s="129"/>
      <x:c r="J14" s="123"/>
      <x:c r="K14" s="87"/>
      <x:c r="L14" s="87"/>
      <x:c r="M14" s="117"/>
      <x:c r="N14" s="87"/>
      <x:c r="O14" s="88"/>
    </x:row>
    <x:row r="15">
      <x:c r="A15" s="86"/>
      <x:c r="B15" s="87"/>
      <x:c r="C15" s="87"/>
      <x:c r="D15" s="111"/>
      <x:c r="E15" s="123"/>
      <x:c r="F15" s="123"/>
      <x:c r="G15" s="123"/>
      <x:c r="H15" s="123"/>
      <x:c r="I15" s="129"/>
      <x:c r="J15" s="123"/>
      <x:c r="K15" s="87"/>
      <x:c r="L15" s="87"/>
      <x:c r="M15" s="117"/>
      <x:c r="N15" s="87"/>
      <x:c r="O15" s="88"/>
    </x:row>
    <x:row r="16">
      <x:c r="A16" s="86"/>
      <x:c r="B16" s="87"/>
      <x:c r="C16" s="87"/>
      <x:c r="D16" s="111"/>
      <x:c r="E16" s="123"/>
      <x:c r="F16" s="123"/>
      <x:c r="G16" s="123"/>
      <x:c r="H16" s="123"/>
      <x:c r="I16" s="129"/>
      <x:c r="J16" s="123"/>
      <x:c r="K16" s="87"/>
      <x:c r="L16" s="87"/>
      <x:c r="M16" s="117"/>
      <x:c r="N16" s="87"/>
      <x:c r="O16" s="88"/>
    </x:row>
    <x:row r="17">
      <x:c r="A17" s="86"/>
      <x:c r="B17" s="87"/>
      <x:c r="C17" s="87"/>
      <x:c r="D17" s="111"/>
      <x:c r="E17" s="123"/>
      <x:c r="F17" s="123"/>
      <x:c r="G17" s="123"/>
      <x:c r="H17" s="123"/>
      <x:c r="I17" s="129"/>
      <x:c r="J17" s="123"/>
      <x:c r="K17" s="87"/>
      <x:c r="L17" s="87"/>
      <x:c r="M17" s="117"/>
      <x:c r="N17" s="87"/>
      <x:c r="O17" s="88"/>
    </x:row>
    <x:row r="18">
      <x:c r="A18" s="86"/>
      <x:c r="B18" s="87"/>
      <x:c r="C18" s="87"/>
      <x:c r="D18" s="111"/>
      <x:c r="E18" s="123"/>
      <x:c r="F18" s="123"/>
      <x:c r="G18" s="123"/>
      <x:c r="H18" s="123"/>
      <x:c r="I18" s="129"/>
      <x:c r="J18" s="123"/>
      <x:c r="K18" s="87"/>
      <x:c r="L18" s="87"/>
      <x:c r="M18" s="117"/>
      <x:c r="N18" s="87"/>
      <x:c r="O18" s="88"/>
    </x:row>
    <x:row r="19">
      <x:c r="A19" s="86"/>
      <x:c r="B19" s="87"/>
      <x:c r="C19" s="87"/>
      <x:c r="D19" s="111"/>
      <x:c r="E19" s="123"/>
      <x:c r="F19" s="123"/>
      <x:c r="G19" s="123"/>
      <x:c r="H19" s="123"/>
      <x:c r="I19" s="129"/>
      <x:c r="J19" s="123"/>
      <x:c r="K19" s="87"/>
      <x:c r="L19" s="87"/>
      <x:c r="M19" s="117"/>
      <x:c r="N19" s="87"/>
      <x:c r="O19" s="88"/>
    </x:row>
    <x:row r="20">
      <x:c r="A20" s="86"/>
      <x:c r="B20" s="87"/>
      <x:c r="C20" s="87"/>
      <x:c r="D20" s="111"/>
      <x:c r="E20" s="123"/>
      <x:c r="F20" s="123"/>
      <x:c r="G20" s="123"/>
      <x:c r="H20" s="123"/>
      <x:c r="I20" s="129"/>
      <x:c r="J20" s="123"/>
      <x:c r="K20" s="87"/>
      <x:c r="L20" s="87"/>
      <x:c r="M20" s="117"/>
      <x:c r="N20" s="87"/>
      <x:c r="O20" s="88"/>
    </x:row>
    <x:row r="21">
      <x:c r="A21" s="86"/>
      <x:c r="B21" s="87"/>
      <x:c r="C21" s="87"/>
      <x:c r="D21" s="111"/>
      <x:c r="E21" s="123"/>
      <x:c r="F21" s="123"/>
      <x:c r="G21" s="123"/>
      <x:c r="H21" s="123"/>
      <x:c r="I21" s="129"/>
      <x:c r="J21" s="123"/>
      <x:c r="K21" s="87"/>
      <x:c r="L21" s="87"/>
      <x:c r="M21" s="117"/>
      <x:c r="N21" s="87"/>
      <x:c r="O21" s="88"/>
    </x:row>
    <x:row r="22">
      <x:c r="A22" s="86"/>
      <x:c r="B22" s="87"/>
      <x:c r="C22" s="87"/>
      <x:c r="D22" s="111"/>
      <x:c r="E22" s="123"/>
      <x:c r="F22" s="123"/>
      <x:c r="G22" s="123"/>
      <x:c r="H22" s="123"/>
      <x:c r="I22" s="129"/>
      <x:c r="J22" s="123"/>
      <x:c r="K22" s="87"/>
      <x:c r="L22" s="87"/>
      <x:c r="M22" s="117"/>
      <x:c r="N22" s="87"/>
      <x:c r="O22" s="88"/>
    </x:row>
    <x:row r="23">
      <x:c r="A23" s="86"/>
      <x:c r="B23" s="87"/>
      <x:c r="C23" s="87"/>
      <x:c r="D23" s="111"/>
      <x:c r="E23" s="123"/>
      <x:c r="F23" s="123"/>
      <x:c r="G23" s="123"/>
      <x:c r="H23" s="123"/>
      <x:c r="I23" s="129"/>
      <x:c r="J23" s="123"/>
      <x:c r="K23" s="87"/>
      <x:c r="L23" s="87"/>
      <x:c r="M23" s="117"/>
      <x:c r="N23" s="87"/>
      <x:c r="O23" s="88"/>
    </x:row>
    <x:row r="24">
      <x:c r="A24" s="86"/>
      <x:c r="B24" s="87"/>
      <x:c r="C24" s="87"/>
      <x:c r="D24" s="111"/>
      <x:c r="E24" s="123"/>
      <x:c r="F24" s="123"/>
      <x:c r="G24" s="123"/>
      <x:c r="H24" s="123"/>
      <x:c r="I24" s="129"/>
      <x:c r="J24" s="123"/>
      <x:c r="K24" s="87"/>
      <x:c r="L24" s="87"/>
      <x:c r="M24" s="117"/>
      <x:c r="N24" s="87"/>
      <x:c r="O24" s="88"/>
    </x:row>
    <x:row r="25">
      <x:c r="A25" s="86"/>
      <x:c r="B25" s="87"/>
      <x:c r="C25" s="87"/>
      <x:c r="D25" s="111"/>
      <x:c r="E25" s="123"/>
      <x:c r="F25" s="123"/>
      <x:c r="G25" s="123"/>
      <x:c r="H25" s="123"/>
      <x:c r="I25" s="129"/>
      <x:c r="J25" s="123"/>
      <x:c r="K25" s="87"/>
      <x:c r="L25" s="87"/>
      <x:c r="M25" s="117"/>
      <x:c r="N25" s="87"/>
      <x:c r="O25" s="88"/>
    </x:row>
    <x:row r="26">
      <x:c r="A26" s="86"/>
      <x:c r="B26" s="87"/>
      <x:c r="C26" s="87"/>
      <x:c r="D26" s="111"/>
      <x:c r="E26" s="123"/>
      <x:c r="F26" s="123"/>
      <x:c r="G26" s="123"/>
      <x:c r="H26" s="123"/>
      <x:c r="I26" s="129"/>
      <x:c r="J26" s="123"/>
      <x:c r="K26" s="87"/>
      <x:c r="L26" s="87"/>
      <x:c r="M26" s="117"/>
      <x:c r="N26" s="87"/>
      <x:c r="O26" s="88"/>
    </x:row>
    <x:row r="27">
      <x:c r="A27" s="86"/>
      <x:c r="B27" s="87"/>
      <x:c r="C27" s="87"/>
      <x:c r="D27" s="111"/>
      <x:c r="E27" s="123"/>
      <x:c r="F27" s="123"/>
      <x:c r="G27" s="123"/>
      <x:c r="H27" s="123"/>
      <x:c r="I27" s="129"/>
      <x:c r="J27" s="123"/>
      <x:c r="K27" s="87"/>
      <x:c r="L27" s="87"/>
      <x:c r="M27" s="117"/>
      <x:c r="N27" s="87"/>
      <x:c r="O27" s="88"/>
    </x:row>
    <x:row r="28">
      <x:c r="A28" s="86"/>
      <x:c r="B28" s="87"/>
      <x:c r="C28" s="87"/>
      <x:c r="D28" s="111"/>
      <x:c r="E28" s="123"/>
      <x:c r="F28" s="123"/>
      <x:c r="G28" s="123"/>
      <x:c r="H28" s="123"/>
      <x:c r="I28" s="129"/>
      <x:c r="J28" s="123"/>
      <x:c r="K28" s="87"/>
      <x:c r="L28" s="87"/>
      <x:c r="M28" s="117"/>
      <x:c r="N28" s="87"/>
      <x:c r="O28" s="88"/>
    </x:row>
    <x:row r="29">
      <x:c r="A29" s="86"/>
      <x:c r="B29" s="87"/>
      <x:c r="C29" s="87"/>
      <x:c r="D29" s="111"/>
      <x:c r="E29" s="123"/>
      <x:c r="F29" s="123"/>
      <x:c r="G29" s="123"/>
      <x:c r="H29" s="123"/>
      <x:c r="I29" s="129"/>
      <x:c r="J29" s="123"/>
      <x:c r="K29" s="87"/>
      <x:c r="L29" s="87"/>
      <x:c r="M29" s="117"/>
      <x:c r="N29" s="87"/>
      <x:c r="O29" s="88"/>
    </x:row>
    <x:row r="30">
      <x:c r="A30" s="86"/>
      <x:c r="B30" s="87"/>
      <x:c r="C30" s="87"/>
      <x:c r="D30" s="111"/>
      <x:c r="E30" s="123"/>
      <x:c r="F30" s="123"/>
      <x:c r="G30" s="123"/>
      <x:c r="H30" s="123"/>
      <x:c r="I30" s="129"/>
      <x:c r="J30" s="123"/>
      <x:c r="K30" s="87"/>
      <x:c r="L30" s="87"/>
      <x:c r="M30" s="117"/>
      <x:c r="N30" s="87"/>
      <x:c r="O30" s="88"/>
    </x:row>
    <x:row r="31">
      <x:c r="A31" s="86"/>
      <x:c r="B31" s="87"/>
      <x:c r="C31" s="87"/>
      <x:c r="D31" s="111"/>
      <x:c r="E31" s="123"/>
      <x:c r="F31" s="123"/>
      <x:c r="G31" s="123"/>
      <x:c r="H31" s="123"/>
      <x:c r="I31" s="129"/>
      <x:c r="J31" s="123"/>
      <x:c r="K31" s="87"/>
      <x:c r="L31" s="87"/>
      <x:c r="M31" s="117"/>
      <x:c r="N31" s="87"/>
      <x:c r="O31" s="88"/>
    </x:row>
    <x:row r="32">
      <x:c r="A32" s="86"/>
      <x:c r="B32" s="87"/>
      <x:c r="C32" s="87"/>
      <x:c r="D32" s="111"/>
      <x:c r="E32" s="123"/>
      <x:c r="F32" s="123"/>
      <x:c r="G32" s="123"/>
      <x:c r="H32" s="123"/>
      <x:c r="I32" s="129"/>
      <x:c r="J32" s="123"/>
      <x:c r="K32" s="87"/>
      <x:c r="L32" s="87"/>
      <x:c r="M32" s="117"/>
      <x:c r="N32" s="87"/>
      <x:c r="O32" s="88"/>
    </x:row>
    <x:row r="33">
      <x:c r="A33" s="86"/>
      <x:c r="B33" s="87"/>
      <x:c r="C33" s="87"/>
      <x:c r="D33" s="111"/>
      <x:c r="E33" s="123"/>
      <x:c r="F33" s="123"/>
      <x:c r="G33" s="123"/>
      <x:c r="H33" s="123"/>
      <x:c r="I33" s="129"/>
      <x:c r="J33" s="123"/>
      <x:c r="K33" s="87"/>
      <x:c r="L33" s="87"/>
      <x:c r="M33" s="117"/>
      <x:c r="N33" s="87"/>
      <x:c r="O33" s="88"/>
    </x:row>
    <x:row r="34">
      <x:c r="A34" s="86"/>
      <x:c r="B34" s="87"/>
      <x:c r="C34" s="87"/>
      <x:c r="D34" s="111"/>
      <x:c r="E34" s="123"/>
      <x:c r="F34" s="123"/>
      <x:c r="G34" s="123"/>
      <x:c r="H34" s="123"/>
      <x:c r="I34" s="129"/>
      <x:c r="J34" s="123"/>
      <x:c r="K34" s="87"/>
      <x:c r="L34" s="87"/>
      <x:c r="M34" s="117"/>
      <x:c r="N34" s="87"/>
      <x:c r="O34" s="88"/>
    </x:row>
    <x:row r="35">
      <x:c r="A35" s="86"/>
      <x:c r="B35" s="87"/>
      <x:c r="C35" s="87"/>
      <x:c r="D35" s="111"/>
      <x:c r="E35" s="123"/>
      <x:c r="F35" s="123"/>
      <x:c r="G35" s="123"/>
      <x:c r="H35" s="123"/>
      <x:c r="I35" s="129"/>
      <x:c r="J35" s="123"/>
      <x:c r="K35" s="87"/>
      <x:c r="L35" s="87"/>
      <x:c r="M35" s="117"/>
      <x:c r="N35" s="87"/>
      <x:c r="O35" s="88"/>
    </x:row>
    <x:row r="36">
      <x:c r="A36" s="86"/>
      <x:c r="B36" s="87"/>
      <x:c r="C36" s="87"/>
      <x:c r="D36" s="111"/>
      <x:c r="E36" s="123"/>
      <x:c r="F36" s="123"/>
      <x:c r="G36" s="123"/>
      <x:c r="H36" s="123"/>
      <x:c r="I36" s="129"/>
      <x:c r="J36" s="123"/>
      <x:c r="K36" s="87"/>
      <x:c r="L36" s="87"/>
      <x:c r="M36" s="117"/>
      <x:c r="N36" s="87"/>
      <x:c r="O36" s="88"/>
    </x:row>
    <x:row r="37">
      <x:c r="A37" s="86"/>
      <x:c r="B37" s="87"/>
      <x:c r="C37" s="87"/>
      <x:c r="D37" s="111"/>
      <x:c r="E37" s="123"/>
      <x:c r="F37" s="123"/>
      <x:c r="G37" s="123"/>
      <x:c r="H37" s="123"/>
      <x:c r="I37" s="129"/>
      <x:c r="J37" s="123"/>
      <x:c r="K37" s="87"/>
      <x:c r="L37" s="87"/>
      <x:c r="M37" s="117"/>
      <x:c r="N37" s="87"/>
      <x:c r="O37" s="88"/>
    </x:row>
    <x:row r="38">
      <x:c r="A38" s="86"/>
      <x:c r="B38" s="87"/>
      <x:c r="C38" s="87"/>
      <x:c r="D38" s="111"/>
      <x:c r="E38" s="123"/>
      <x:c r="F38" s="123"/>
      <x:c r="G38" s="123"/>
      <x:c r="H38" s="123"/>
      <x:c r="I38" s="129"/>
      <x:c r="J38" s="123"/>
      <x:c r="K38" s="87"/>
      <x:c r="L38" s="87"/>
      <x:c r="M38" s="117"/>
      <x:c r="N38" s="87"/>
      <x:c r="O38" s="88"/>
    </x:row>
    <x:row r="39">
      <x:c r="A39" s="86"/>
      <x:c r="B39" s="87"/>
      <x:c r="C39" s="87"/>
      <x:c r="D39" s="111"/>
      <x:c r="E39" s="123"/>
      <x:c r="F39" s="123"/>
      <x:c r="G39" s="123"/>
      <x:c r="H39" s="123"/>
      <x:c r="I39" s="129"/>
      <x:c r="J39" s="123"/>
      <x:c r="K39" s="87"/>
      <x:c r="L39" s="87"/>
      <x:c r="M39" s="117"/>
      <x:c r="N39" s="87"/>
      <x:c r="O39" s="88"/>
    </x:row>
    <x:row r="40">
      <x:c r="A40" s="86"/>
      <x:c r="B40" s="87"/>
      <x:c r="C40" s="87"/>
      <x:c r="D40" s="111"/>
      <x:c r="E40" s="123"/>
      <x:c r="F40" s="123"/>
      <x:c r="G40" s="123"/>
      <x:c r="H40" s="123"/>
      <x:c r="I40" s="129"/>
      <x:c r="J40" s="123"/>
      <x:c r="K40" s="87"/>
      <x:c r="L40" s="87"/>
      <x:c r="M40" s="117"/>
      <x:c r="N40" s="87"/>
      <x:c r="O40" s="88"/>
    </x:row>
    <x:row r="41">
      <x:c r="A41" s="86"/>
      <x:c r="B41" s="87"/>
      <x:c r="C41" s="87"/>
      <x:c r="D41" s="111"/>
      <x:c r="E41" s="123"/>
      <x:c r="F41" s="123"/>
      <x:c r="G41" s="123"/>
      <x:c r="H41" s="123"/>
      <x:c r="I41" s="129"/>
      <x:c r="J41" s="123"/>
      <x:c r="K41" s="87"/>
      <x:c r="L41" s="87"/>
      <x:c r="M41" s="117"/>
      <x:c r="N41" s="87"/>
      <x:c r="O41" s="88"/>
    </x:row>
    <x:row r="42">
      <x:c r="A42" s="86"/>
      <x:c r="B42" s="87"/>
      <x:c r="C42" s="87"/>
      <x:c r="D42" s="111"/>
      <x:c r="E42" s="123"/>
      <x:c r="F42" s="123"/>
      <x:c r="G42" s="123"/>
      <x:c r="H42" s="123"/>
      <x:c r="I42" s="129"/>
      <x:c r="J42" s="123"/>
      <x:c r="K42" s="87"/>
      <x:c r="L42" s="87"/>
      <x:c r="M42" s="117"/>
      <x:c r="N42" s="87"/>
      <x:c r="O42" s="88"/>
    </x:row>
    <x:row r="43">
      <x:c r="A43" s="86"/>
      <x:c r="B43" s="87"/>
      <x:c r="C43" s="87"/>
      <x:c r="D43" s="111"/>
      <x:c r="E43" s="123"/>
      <x:c r="F43" s="123"/>
      <x:c r="G43" s="123"/>
      <x:c r="H43" s="123"/>
      <x:c r="I43" s="129"/>
      <x:c r="J43" s="123"/>
      <x:c r="K43" s="87"/>
      <x:c r="L43" s="87"/>
      <x:c r="M43" s="117"/>
      <x:c r="N43" s="87"/>
      <x:c r="O43" s="88"/>
    </x:row>
    <x:row r="44">
      <x:c r="A44" s="86"/>
      <x:c r="B44" s="87"/>
      <x:c r="C44" s="87"/>
      <x:c r="D44" s="111"/>
      <x:c r="E44" s="123"/>
      <x:c r="F44" s="123"/>
      <x:c r="G44" s="123"/>
      <x:c r="H44" s="123"/>
      <x:c r="I44" s="129"/>
      <x:c r="J44" s="123"/>
      <x:c r="K44" s="87"/>
      <x:c r="L44" s="87"/>
      <x:c r="M44" s="117"/>
      <x:c r="N44" s="87"/>
      <x:c r="O44" s="88"/>
    </x:row>
    <x:row r="45">
      <x:c r="A45" s="86"/>
      <x:c r="B45" s="87"/>
      <x:c r="C45" s="87"/>
      <x:c r="D45" s="111"/>
      <x:c r="E45" s="123"/>
      <x:c r="F45" s="123"/>
      <x:c r="G45" s="123"/>
      <x:c r="H45" s="123"/>
      <x:c r="I45" s="129"/>
      <x:c r="J45" s="123"/>
      <x:c r="K45" s="87"/>
      <x:c r="L45" s="87"/>
      <x:c r="M45" s="117"/>
      <x:c r="N45" s="87"/>
      <x:c r="O45" s="88"/>
    </x:row>
    <x:row r="46">
      <x:c r="A46" s="86"/>
      <x:c r="B46" s="87"/>
      <x:c r="C46" s="87"/>
      <x:c r="D46" s="111"/>
      <x:c r="E46" s="123"/>
      <x:c r="F46" s="123"/>
      <x:c r="G46" s="123"/>
      <x:c r="H46" s="123"/>
      <x:c r="I46" s="129"/>
      <x:c r="J46" s="123"/>
      <x:c r="K46" s="87"/>
      <x:c r="L46" s="87"/>
      <x:c r="M46" s="117"/>
      <x:c r="N46" s="87"/>
      <x:c r="O46" s="88"/>
    </x:row>
    <x:row r="47">
      <x:c r="A47" s="86"/>
      <x:c r="B47" s="87"/>
      <x:c r="C47" s="87"/>
      <x:c r="D47" s="111"/>
      <x:c r="E47" s="123"/>
      <x:c r="F47" s="123"/>
      <x:c r="G47" s="123"/>
      <x:c r="H47" s="123"/>
      <x:c r="I47" s="129"/>
      <x:c r="J47" s="123"/>
      <x:c r="K47" s="87"/>
      <x:c r="L47" s="87"/>
      <x:c r="M47" s="117"/>
      <x:c r="N47" s="87"/>
      <x:c r="O47" s="88"/>
    </x:row>
    <x:row r="48">
      <x:c r="A48" s="86"/>
      <x:c r="B48" s="87"/>
      <x:c r="C48" s="87"/>
      <x:c r="D48" s="111"/>
      <x:c r="E48" s="123"/>
      <x:c r="F48" s="123"/>
      <x:c r="G48" s="123"/>
      <x:c r="H48" s="123"/>
      <x:c r="I48" s="129"/>
      <x:c r="J48" s="123"/>
      <x:c r="K48" s="87"/>
      <x:c r="L48" s="87"/>
      <x:c r="M48" s="117"/>
      <x:c r="N48" s="87"/>
      <x:c r="O48" s="88"/>
    </x:row>
    <x:row r="49">
      <x:c r="A49" s="86"/>
      <x:c r="B49" s="87"/>
      <x:c r="C49" s="87"/>
      <x:c r="D49" s="111"/>
      <x:c r="E49" s="123"/>
      <x:c r="F49" s="123"/>
      <x:c r="G49" s="123"/>
      <x:c r="H49" s="123"/>
      <x:c r="I49" s="129"/>
      <x:c r="J49" s="123"/>
      <x:c r="K49" s="87"/>
      <x:c r="L49" s="87"/>
      <x:c r="M49" s="117"/>
      <x:c r="N49" s="87"/>
      <x:c r="O49" s="88"/>
    </x:row>
    <x:row r="50">
      <x:c r="A50" s="86"/>
      <x:c r="B50" s="87"/>
      <x:c r="C50" s="87"/>
      <x:c r="D50" s="111"/>
      <x:c r="E50" s="123"/>
      <x:c r="F50" s="123"/>
      <x:c r="G50" s="123"/>
      <x:c r="H50" s="123"/>
      <x:c r="I50" s="129"/>
      <x:c r="J50" s="123"/>
      <x:c r="K50" s="87"/>
      <x:c r="L50" s="87"/>
      <x:c r="M50" s="117"/>
      <x:c r="N50" s="87"/>
      <x:c r="O50" s="88"/>
    </x:row>
    <x:row r="51">
      <x:c r="A51" s="86"/>
      <x:c r="B51" s="87"/>
      <x:c r="C51" s="87"/>
      <x:c r="D51" s="111"/>
      <x:c r="E51" s="123"/>
      <x:c r="F51" s="123"/>
      <x:c r="G51" s="123"/>
      <x:c r="H51" s="123"/>
      <x:c r="I51" s="129"/>
      <x:c r="J51" s="123"/>
      <x:c r="K51" s="87"/>
      <x:c r="L51" s="87"/>
      <x:c r="M51" s="117"/>
      <x:c r="N51" s="87"/>
      <x:c r="O51" s="88"/>
    </x:row>
    <x:row r="52">
      <x:c r="A52" s="86"/>
      <x:c r="B52" s="87"/>
      <x:c r="C52" s="87"/>
      <x:c r="D52" s="111"/>
      <x:c r="E52" s="123"/>
      <x:c r="F52" s="123"/>
      <x:c r="G52" s="123"/>
      <x:c r="H52" s="123"/>
      <x:c r="I52" s="129"/>
      <x:c r="J52" s="123"/>
      <x:c r="K52" s="87"/>
      <x:c r="L52" s="87"/>
      <x:c r="M52" s="117"/>
      <x:c r="N52" s="87"/>
      <x:c r="O52" s="88"/>
    </x:row>
    <x:row r="53">
      <x:c r="A53" s="86"/>
      <x:c r="B53" s="87"/>
      <x:c r="C53" s="87"/>
      <x:c r="D53" s="111"/>
      <x:c r="E53" s="123"/>
      <x:c r="F53" s="123"/>
      <x:c r="G53" s="123"/>
      <x:c r="H53" s="123"/>
      <x:c r="I53" s="129"/>
      <x:c r="J53" s="123"/>
      <x:c r="K53" s="87"/>
      <x:c r="L53" s="87"/>
      <x:c r="M53" s="117"/>
      <x:c r="N53" s="87"/>
      <x:c r="O53" s="88"/>
    </x:row>
    <x:row r="54">
      <x:c r="A54" s="86"/>
      <x:c r="B54" s="87"/>
      <x:c r="C54" s="87"/>
      <x:c r="D54" s="111"/>
      <x:c r="E54" s="123"/>
      <x:c r="F54" s="123"/>
      <x:c r="G54" s="123"/>
      <x:c r="H54" s="123"/>
      <x:c r="I54" s="129"/>
      <x:c r="J54" s="123"/>
      <x:c r="K54" s="87"/>
      <x:c r="L54" s="87"/>
      <x:c r="M54" s="117"/>
      <x:c r="N54" s="87"/>
      <x:c r="O54" s="88"/>
    </x:row>
    <x:row r="55">
      <x:c r="A55" s="86"/>
      <x:c r="B55" s="87"/>
      <x:c r="C55" s="87"/>
      <x:c r="D55" s="111"/>
      <x:c r="E55" s="123"/>
      <x:c r="F55" s="123"/>
      <x:c r="G55" s="123"/>
      <x:c r="H55" s="123"/>
      <x:c r="I55" s="129"/>
      <x:c r="J55" s="123"/>
      <x:c r="K55" s="87"/>
      <x:c r="L55" s="87"/>
      <x:c r="M55" s="117"/>
      <x:c r="N55" s="87"/>
      <x:c r="O55" s="88"/>
    </x:row>
    <x:row r="56">
      <x:c r="A56" s="86"/>
      <x:c r="B56" s="87"/>
      <x:c r="C56" s="87"/>
      <x:c r="D56" s="111"/>
      <x:c r="E56" s="123"/>
      <x:c r="F56" s="123"/>
      <x:c r="G56" s="123"/>
      <x:c r="H56" s="123"/>
      <x:c r="I56" s="129"/>
      <x:c r="J56" s="123"/>
      <x:c r="K56" s="87"/>
      <x:c r="L56" s="87"/>
      <x:c r="M56" s="117"/>
      <x:c r="N56" s="87"/>
      <x:c r="O56" s="88"/>
    </x:row>
    <x:row r="57">
      <x:c r="A57" s="86"/>
      <x:c r="B57" s="87"/>
      <x:c r="C57" s="87"/>
      <x:c r="D57" s="111"/>
      <x:c r="E57" s="123"/>
      <x:c r="F57" s="123"/>
      <x:c r="G57" s="123"/>
      <x:c r="H57" s="123"/>
      <x:c r="I57" s="129"/>
      <x:c r="J57" s="123"/>
      <x:c r="K57" s="87"/>
      <x:c r="L57" s="87"/>
      <x:c r="M57" s="117"/>
      <x:c r="N57" s="87"/>
      <x:c r="O57" s="88"/>
    </x:row>
    <x:row r="58">
      <x:c r="A58" s="86"/>
      <x:c r="B58" s="87"/>
      <x:c r="C58" s="87"/>
      <x:c r="D58" s="111"/>
      <x:c r="E58" s="123"/>
      <x:c r="F58" s="123"/>
      <x:c r="G58" s="123"/>
      <x:c r="H58" s="123"/>
      <x:c r="I58" s="129"/>
      <x:c r="J58" s="123"/>
      <x:c r="K58" s="87"/>
      <x:c r="L58" s="87"/>
      <x:c r="M58" s="117"/>
      <x:c r="N58" s="87"/>
      <x:c r="O58" s="88"/>
    </x:row>
    <x:row r="59">
      <x:c r="A59" s="86"/>
      <x:c r="B59" s="87"/>
      <x:c r="C59" s="87"/>
      <x:c r="D59" s="111"/>
      <x:c r="E59" s="123"/>
      <x:c r="F59" s="123"/>
      <x:c r="G59" s="123"/>
      <x:c r="H59" s="123"/>
      <x:c r="I59" s="129"/>
      <x:c r="J59" s="123"/>
      <x:c r="K59" s="87"/>
      <x:c r="L59" s="87"/>
      <x:c r="M59" s="117"/>
      <x:c r="N59" s="87"/>
      <x:c r="O59" s="88"/>
    </x:row>
    <x:row r="60">
      <x:c r="A60" s="86"/>
      <x:c r="B60" s="87"/>
      <x:c r="C60" s="87"/>
      <x:c r="D60" s="111"/>
      <x:c r="E60" s="123"/>
      <x:c r="F60" s="123"/>
      <x:c r="G60" s="123"/>
      <x:c r="H60" s="123"/>
      <x:c r="I60" s="129"/>
      <x:c r="J60" s="123"/>
      <x:c r="K60" s="87"/>
      <x:c r="L60" s="87"/>
      <x:c r="M60" s="117"/>
      <x:c r="N60" s="87"/>
      <x:c r="O60" s="88"/>
    </x:row>
    <x:row r="61">
      <x:c r="A61" s="86"/>
      <x:c r="B61" s="87"/>
      <x:c r="C61" s="87"/>
      <x:c r="D61" s="111"/>
      <x:c r="E61" s="123"/>
      <x:c r="F61" s="123"/>
      <x:c r="G61" s="123"/>
      <x:c r="H61" s="123"/>
      <x:c r="I61" s="129"/>
      <x:c r="J61" s="123"/>
      <x:c r="K61" s="87"/>
      <x:c r="L61" s="87"/>
      <x:c r="M61" s="117"/>
      <x:c r="N61" s="87"/>
      <x:c r="O61" s="88"/>
    </x:row>
    <x:row r="62">
      <x:c r="A62" s="86"/>
      <x:c r="B62" s="87"/>
      <x:c r="C62" s="87"/>
      <x:c r="D62" s="111"/>
      <x:c r="E62" s="123"/>
      <x:c r="F62" s="123"/>
      <x:c r="G62" s="123"/>
      <x:c r="H62" s="123"/>
      <x:c r="I62" s="129"/>
      <x:c r="J62" s="123"/>
      <x:c r="K62" s="87"/>
      <x:c r="L62" s="87"/>
      <x:c r="M62" s="117"/>
      <x:c r="N62" s="87"/>
      <x:c r="O62" s="88"/>
    </x:row>
    <x:row r="63">
      <x:c r="A63" s="86"/>
      <x:c r="B63" s="87"/>
      <x:c r="C63" s="87"/>
      <x:c r="D63" s="111"/>
      <x:c r="E63" s="123"/>
      <x:c r="F63" s="123"/>
      <x:c r="G63" s="123"/>
      <x:c r="H63" s="123"/>
      <x:c r="I63" s="129"/>
      <x:c r="J63" s="123"/>
      <x:c r="K63" s="87"/>
      <x:c r="L63" s="87"/>
      <x:c r="M63" s="117"/>
      <x:c r="N63" s="87"/>
      <x:c r="O63" s="88"/>
    </x:row>
    <x:row r="64">
      <x:c r="A64" s="86"/>
      <x:c r="B64" s="87"/>
      <x:c r="C64" s="87"/>
      <x:c r="D64" s="111"/>
      <x:c r="E64" s="123"/>
      <x:c r="F64" s="123"/>
      <x:c r="G64" s="123"/>
      <x:c r="H64" s="123"/>
      <x:c r="I64" s="129"/>
      <x:c r="J64" s="123"/>
      <x:c r="K64" s="87"/>
      <x:c r="L64" s="87"/>
      <x:c r="M64" s="117"/>
      <x:c r="N64" s="87"/>
      <x:c r="O64" s="88"/>
    </x:row>
    <x:row r="65">
      <x:c r="A65" s="86"/>
      <x:c r="B65" s="87"/>
      <x:c r="C65" s="87"/>
      <x:c r="D65" s="111"/>
      <x:c r="E65" s="123"/>
      <x:c r="F65" s="123"/>
      <x:c r="G65" s="123"/>
      <x:c r="H65" s="123"/>
      <x:c r="I65" s="129"/>
      <x:c r="J65" s="123"/>
      <x:c r="K65" s="87"/>
      <x:c r="L65" s="87"/>
      <x:c r="M65" s="117"/>
      <x:c r="N65" s="87"/>
      <x:c r="O65" s="88"/>
    </x:row>
    <x:row r="66">
      <x:c r="A66" s="86"/>
      <x:c r="B66" s="87"/>
      <x:c r="C66" s="87"/>
      <x:c r="D66" s="111"/>
      <x:c r="E66" s="123"/>
      <x:c r="F66" s="123"/>
      <x:c r="G66" s="123"/>
      <x:c r="H66" s="123"/>
      <x:c r="I66" s="129"/>
      <x:c r="J66" s="123"/>
      <x:c r="K66" s="87"/>
      <x:c r="L66" s="87"/>
      <x:c r="M66" s="117"/>
      <x:c r="N66" s="87"/>
      <x:c r="O66" s="88"/>
    </x:row>
    <x:row r="67">
      <x:c r="A67" s="86"/>
      <x:c r="B67" s="87"/>
      <x:c r="C67" s="87"/>
      <x:c r="D67" s="111"/>
      <x:c r="E67" s="123"/>
      <x:c r="F67" s="123"/>
      <x:c r="G67" s="123"/>
      <x:c r="H67" s="123"/>
      <x:c r="I67" s="129"/>
      <x:c r="J67" s="123"/>
      <x:c r="K67" s="87"/>
      <x:c r="L67" s="87"/>
      <x:c r="M67" s="117"/>
      <x:c r="N67" s="87"/>
      <x:c r="O67" s="88"/>
    </x:row>
    <x:row r="68">
      <x:c r="A68" s="86"/>
      <x:c r="B68" s="87"/>
      <x:c r="C68" s="87"/>
      <x:c r="D68" s="111"/>
      <x:c r="E68" s="123"/>
      <x:c r="F68" s="123"/>
      <x:c r="G68" s="123"/>
      <x:c r="H68" s="123"/>
      <x:c r="I68" s="129"/>
      <x:c r="J68" s="123"/>
      <x:c r="K68" s="87"/>
      <x:c r="L68" s="87"/>
      <x:c r="M68" s="117"/>
      <x:c r="N68" s="87"/>
      <x:c r="O68" s="88"/>
    </x:row>
    <x:row r="69">
      <x:c r="A69" s="86"/>
      <x:c r="B69" s="87"/>
      <x:c r="C69" s="87"/>
      <x:c r="D69" s="111"/>
      <x:c r="E69" s="123"/>
      <x:c r="F69" s="123"/>
      <x:c r="G69" s="123"/>
      <x:c r="H69" s="123"/>
      <x:c r="I69" s="129"/>
      <x:c r="J69" s="123"/>
      <x:c r="K69" s="87"/>
      <x:c r="L69" s="87"/>
      <x:c r="M69" s="117"/>
      <x:c r="N69" s="87"/>
      <x:c r="O69" s="88"/>
    </x:row>
    <x:row r="70">
      <x:c r="A70" s="86"/>
      <x:c r="B70" s="87"/>
      <x:c r="C70" s="87"/>
      <x:c r="D70" s="111"/>
      <x:c r="E70" s="123"/>
      <x:c r="F70" s="123"/>
      <x:c r="G70" s="123"/>
      <x:c r="H70" s="123"/>
      <x:c r="I70" s="129"/>
      <x:c r="J70" s="123"/>
      <x:c r="K70" s="87"/>
      <x:c r="L70" s="87"/>
      <x:c r="M70" s="117"/>
      <x:c r="N70" s="87"/>
      <x:c r="O70" s="88"/>
    </x:row>
    <x:row r="71">
      <x:c r="A71" s="86"/>
      <x:c r="B71" s="87"/>
      <x:c r="C71" s="87"/>
      <x:c r="D71" s="111"/>
      <x:c r="E71" s="123"/>
      <x:c r="F71" s="123"/>
      <x:c r="G71" s="123"/>
      <x:c r="H71" s="123"/>
      <x:c r="I71" s="129"/>
      <x:c r="J71" s="123"/>
      <x:c r="K71" s="87"/>
      <x:c r="L71" s="87"/>
      <x:c r="M71" s="117"/>
      <x:c r="N71" s="87"/>
      <x:c r="O71" s="88"/>
    </x:row>
    <x:row r="72">
      <x:c r="A72" s="86"/>
      <x:c r="B72" s="87"/>
      <x:c r="C72" s="87"/>
      <x:c r="D72" s="111"/>
      <x:c r="E72" s="123"/>
      <x:c r="F72" s="123"/>
      <x:c r="G72" s="123"/>
      <x:c r="H72" s="123"/>
      <x:c r="I72" s="129"/>
      <x:c r="J72" s="123"/>
      <x:c r="K72" s="87"/>
      <x:c r="L72" s="87"/>
      <x:c r="M72" s="117"/>
      <x:c r="N72" s="87"/>
      <x:c r="O72" s="88"/>
    </x:row>
    <x:row r="73">
      <x:c r="A73" s="86"/>
      <x:c r="B73" s="87"/>
      <x:c r="C73" s="87"/>
      <x:c r="D73" s="111"/>
      <x:c r="E73" s="123"/>
      <x:c r="F73" s="123"/>
      <x:c r="G73" s="123"/>
      <x:c r="H73" s="123"/>
      <x:c r="I73" s="129"/>
      <x:c r="J73" s="123"/>
      <x:c r="K73" s="87"/>
      <x:c r="L73" s="87"/>
      <x:c r="M73" s="117"/>
      <x:c r="N73" s="87"/>
      <x:c r="O73" s="88"/>
    </x:row>
    <x:row r="74">
      <x:c r="A74" s="86"/>
      <x:c r="B74" s="87"/>
      <x:c r="C74" s="87"/>
      <x:c r="D74" s="111"/>
      <x:c r="E74" s="123"/>
      <x:c r="F74" s="123"/>
      <x:c r="G74" s="123"/>
      <x:c r="H74" s="123"/>
      <x:c r="I74" s="129"/>
      <x:c r="J74" s="123"/>
      <x:c r="K74" s="87"/>
      <x:c r="L74" s="87"/>
      <x:c r="M74" s="117"/>
      <x:c r="N74" s="87"/>
      <x:c r="O74" s="88"/>
    </x:row>
    <x:row r="75">
      <x:c r="A75" s="86"/>
      <x:c r="B75" s="87"/>
      <x:c r="C75" s="87"/>
      <x:c r="D75" s="111"/>
      <x:c r="E75" s="123"/>
      <x:c r="F75" s="123"/>
      <x:c r="G75" s="123"/>
      <x:c r="H75" s="123"/>
      <x:c r="I75" s="129"/>
      <x:c r="J75" s="123"/>
      <x:c r="K75" s="87"/>
      <x:c r="L75" s="87"/>
      <x:c r="M75" s="117"/>
      <x:c r="N75" s="87"/>
      <x:c r="O75" s="88"/>
    </x:row>
    <x:row r="76">
      <x:c r="A76" s="86"/>
      <x:c r="B76" s="87"/>
      <x:c r="C76" s="87"/>
      <x:c r="D76" s="111"/>
      <x:c r="E76" s="123"/>
      <x:c r="F76" s="123"/>
      <x:c r="G76" s="123"/>
      <x:c r="H76" s="123"/>
      <x:c r="I76" s="129"/>
      <x:c r="J76" s="123"/>
      <x:c r="K76" s="87"/>
      <x:c r="L76" s="87"/>
      <x:c r="M76" s="117"/>
      <x:c r="N76" s="87"/>
      <x:c r="O76" s="88"/>
    </x:row>
    <x:row r="77">
      <x:c r="A77" s="86"/>
      <x:c r="B77" s="87"/>
      <x:c r="C77" s="87"/>
      <x:c r="D77" s="111"/>
      <x:c r="E77" s="123"/>
      <x:c r="F77" s="123"/>
      <x:c r="G77" s="123"/>
      <x:c r="H77" s="123"/>
      <x:c r="I77" s="129"/>
      <x:c r="J77" s="123"/>
      <x:c r="K77" s="87"/>
      <x:c r="L77" s="87"/>
      <x:c r="M77" s="117"/>
      <x:c r="N77" s="87"/>
      <x:c r="O77" s="88"/>
    </x:row>
    <x:row r="78">
      <x:c r="A78" s="86"/>
      <x:c r="B78" s="87"/>
      <x:c r="C78" s="87"/>
      <x:c r="D78" s="111"/>
      <x:c r="E78" s="123"/>
      <x:c r="F78" s="123"/>
      <x:c r="G78" s="123"/>
      <x:c r="H78" s="123"/>
      <x:c r="I78" s="129"/>
      <x:c r="J78" s="123"/>
      <x:c r="K78" s="87"/>
      <x:c r="L78" s="87"/>
      <x:c r="M78" s="117"/>
      <x:c r="N78" s="87"/>
      <x:c r="O78" s="88"/>
    </x:row>
    <x:row r="79">
      <x:c r="A79" s="86"/>
      <x:c r="B79" s="87"/>
      <x:c r="C79" s="87"/>
      <x:c r="D79" s="111"/>
      <x:c r="E79" s="123"/>
      <x:c r="F79" s="123"/>
      <x:c r="G79" s="123"/>
      <x:c r="H79" s="123"/>
      <x:c r="I79" s="129"/>
      <x:c r="J79" s="123"/>
      <x:c r="K79" s="87"/>
      <x:c r="L79" s="87"/>
      <x:c r="M79" s="117"/>
      <x:c r="N79" s="87"/>
      <x:c r="O79" s="88"/>
    </x:row>
    <x:row r="80">
      <x:c r="A80" s="86"/>
      <x:c r="B80" s="87"/>
      <x:c r="C80" s="87"/>
      <x:c r="D80" s="111"/>
      <x:c r="E80" s="123"/>
      <x:c r="F80" s="123"/>
      <x:c r="G80" s="123"/>
      <x:c r="H80" s="123"/>
      <x:c r="I80" s="129"/>
      <x:c r="J80" s="123"/>
      <x:c r="K80" s="87"/>
      <x:c r="L80" s="87"/>
      <x:c r="M80" s="117"/>
      <x:c r="N80" s="87"/>
      <x:c r="O80" s="88"/>
    </x:row>
    <x:row r="81">
      <x:c r="A81" s="86"/>
      <x:c r="B81" s="87"/>
      <x:c r="C81" s="87"/>
      <x:c r="D81" s="111"/>
      <x:c r="E81" s="123"/>
      <x:c r="F81" s="123"/>
      <x:c r="G81" s="123"/>
      <x:c r="H81" s="123"/>
      <x:c r="I81" s="129"/>
      <x:c r="J81" s="123"/>
      <x:c r="K81" s="87"/>
      <x:c r="L81" s="87"/>
      <x:c r="M81" s="117"/>
      <x:c r="N81" s="87"/>
      <x:c r="O81" s="88"/>
    </x:row>
    <x:row r="82">
      <x:c r="A82" s="86"/>
      <x:c r="B82" s="87"/>
      <x:c r="C82" s="87"/>
      <x:c r="D82" s="111"/>
      <x:c r="E82" s="123"/>
      <x:c r="F82" s="123"/>
      <x:c r="G82" s="123"/>
      <x:c r="H82" s="123"/>
      <x:c r="I82" s="129"/>
      <x:c r="J82" s="123"/>
      <x:c r="K82" s="87"/>
      <x:c r="L82" s="87"/>
      <x:c r="M82" s="117"/>
      <x:c r="N82" s="87"/>
      <x:c r="O82" s="88"/>
    </x:row>
    <x:row r="83">
      <x:c r="A83" s="86"/>
      <x:c r="B83" s="87"/>
      <x:c r="C83" s="87"/>
      <x:c r="D83" s="111"/>
      <x:c r="E83" s="123"/>
      <x:c r="F83" s="123"/>
      <x:c r="G83" s="123"/>
      <x:c r="H83" s="123"/>
      <x:c r="I83" s="129"/>
      <x:c r="J83" s="123"/>
      <x:c r="K83" s="87"/>
      <x:c r="L83" s="87"/>
      <x:c r="M83" s="117"/>
      <x:c r="N83" s="87"/>
      <x:c r="O83" s="88"/>
    </x:row>
    <x:row r="84">
      <x:c r="A84" s="86"/>
      <x:c r="B84" s="87"/>
      <x:c r="C84" s="87"/>
      <x:c r="D84" s="111"/>
      <x:c r="E84" s="123"/>
      <x:c r="F84" s="123"/>
      <x:c r="G84" s="123"/>
      <x:c r="H84" s="123"/>
      <x:c r="I84" s="129"/>
      <x:c r="J84" s="123"/>
      <x:c r="K84" s="87"/>
      <x:c r="L84" s="87"/>
      <x:c r="M84" s="117"/>
      <x:c r="N84" s="87"/>
      <x:c r="O84" s="88"/>
    </x:row>
    <x:row r="85">
      <x:c r="A85" s="86"/>
      <x:c r="B85" s="87"/>
      <x:c r="C85" s="87"/>
      <x:c r="D85" s="111"/>
      <x:c r="E85" s="123"/>
      <x:c r="F85" s="123"/>
      <x:c r="G85" s="123"/>
      <x:c r="H85" s="123"/>
      <x:c r="I85" s="129"/>
      <x:c r="J85" s="123"/>
      <x:c r="K85" s="87"/>
      <x:c r="L85" s="87"/>
      <x:c r="M85" s="117"/>
      <x:c r="N85" s="87"/>
      <x:c r="O85" s="88"/>
    </x:row>
    <x:row r="86">
      <x:c r="A86" s="86"/>
      <x:c r="B86" s="87"/>
      <x:c r="C86" s="87"/>
      <x:c r="D86" s="111"/>
      <x:c r="E86" s="123"/>
      <x:c r="F86" s="123"/>
      <x:c r="G86" s="123"/>
      <x:c r="H86" s="123"/>
      <x:c r="I86" s="129"/>
      <x:c r="J86" s="123"/>
      <x:c r="K86" s="87"/>
      <x:c r="L86" s="87"/>
      <x:c r="M86" s="117"/>
      <x:c r="N86" s="87"/>
      <x:c r="O86" s="88"/>
    </x:row>
    <x:row r="87">
      <x:c r="A87" s="86"/>
      <x:c r="B87" s="87"/>
      <x:c r="C87" s="87"/>
      <x:c r="D87" s="111"/>
      <x:c r="E87" s="123"/>
      <x:c r="F87" s="123"/>
      <x:c r="G87" s="123"/>
      <x:c r="H87" s="123"/>
      <x:c r="I87" s="129"/>
      <x:c r="J87" s="123"/>
      <x:c r="K87" s="87"/>
      <x:c r="L87" s="87"/>
      <x:c r="M87" s="117"/>
      <x:c r="N87" s="87"/>
      <x:c r="O87" s="88"/>
    </x:row>
    <x:row r="88">
      <x:c r="A88" s="86"/>
      <x:c r="B88" s="87"/>
      <x:c r="C88" s="87"/>
      <x:c r="D88" s="111"/>
      <x:c r="E88" s="123"/>
      <x:c r="F88" s="123"/>
      <x:c r="G88" s="123"/>
      <x:c r="H88" s="123"/>
      <x:c r="I88" s="129"/>
      <x:c r="J88" s="123"/>
      <x:c r="K88" s="87"/>
      <x:c r="L88" s="87"/>
      <x:c r="M88" s="117"/>
      <x:c r="N88" s="87"/>
      <x:c r="O88" s="88"/>
    </x:row>
    <x:row r="89">
      <x:c r="A89" s="86"/>
      <x:c r="B89" s="87"/>
      <x:c r="C89" s="87"/>
      <x:c r="D89" s="111"/>
      <x:c r="E89" s="123"/>
      <x:c r="F89" s="123"/>
      <x:c r="G89" s="123"/>
      <x:c r="H89" s="123"/>
      <x:c r="I89" s="129"/>
      <x:c r="J89" s="123"/>
      <x:c r="K89" s="87"/>
      <x:c r="L89" s="87"/>
      <x:c r="M89" s="117"/>
      <x:c r="N89" s="87"/>
      <x:c r="O89" s="88"/>
    </x:row>
    <x:row r="90">
      <x:c r="A90" s="86"/>
      <x:c r="B90" s="87"/>
      <x:c r="C90" s="87"/>
      <x:c r="D90" s="111"/>
      <x:c r="E90" s="123"/>
      <x:c r="F90" s="123"/>
      <x:c r="G90" s="123"/>
      <x:c r="H90" s="123"/>
      <x:c r="I90" s="129"/>
      <x:c r="J90" s="123"/>
      <x:c r="K90" s="87"/>
      <x:c r="L90" s="87"/>
      <x:c r="M90" s="117"/>
      <x:c r="N90" s="87"/>
      <x:c r="O90" s="88"/>
    </x:row>
    <x:row r="91">
      <x:c r="A91" s="86"/>
      <x:c r="B91" s="87"/>
      <x:c r="C91" s="87"/>
      <x:c r="D91" s="111"/>
      <x:c r="E91" s="123"/>
      <x:c r="F91" s="123"/>
      <x:c r="G91" s="123"/>
      <x:c r="H91" s="123"/>
      <x:c r="I91" s="129"/>
      <x:c r="J91" s="123"/>
      <x:c r="K91" s="87"/>
      <x:c r="L91" s="87"/>
      <x:c r="M91" s="117"/>
      <x:c r="N91" s="87"/>
      <x:c r="O91" s="88"/>
    </x:row>
    <x:row r="92">
      <x:c r="A92" s="86"/>
      <x:c r="B92" s="87"/>
      <x:c r="C92" s="87"/>
      <x:c r="D92" s="111"/>
      <x:c r="E92" s="123"/>
      <x:c r="F92" s="123"/>
      <x:c r="G92" s="123"/>
      <x:c r="H92" s="123"/>
      <x:c r="I92" s="129"/>
      <x:c r="J92" s="123"/>
      <x:c r="K92" s="87"/>
      <x:c r="L92" s="87"/>
      <x:c r="M92" s="117"/>
      <x:c r="N92" s="87"/>
      <x:c r="O92" s="88"/>
    </x:row>
    <x:row r="93">
      <x:c r="A93" s="86"/>
      <x:c r="B93" s="87"/>
      <x:c r="C93" s="87"/>
      <x:c r="D93" s="111"/>
      <x:c r="E93" s="123"/>
      <x:c r="F93" s="123"/>
      <x:c r="G93" s="123"/>
      <x:c r="H93" s="123"/>
      <x:c r="I93" s="129"/>
      <x:c r="J93" s="123"/>
      <x:c r="K93" s="87"/>
      <x:c r="L93" s="87"/>
      <x:c r="M93" s="117"/>
      <x:c r="N93" s="87"/>
      <x:c r="O93" s="88"/>
    </x:row>
    <x:row r="94">
      <x:c r="A94" s="86"/>
      <x:c r="B94" s="87"/>
      <x:c r="C94" s="87"/>
      <x:c r="D94" s="111"/>
      <x:c r="E94" s="123"/>
      <x:c r="F94" s="123"/>
      <x:c r="G94" s="123"/>
      <x:c r="H94" s="123"/>
      <x:c r="I94" s="129"/>
      <x:c r="J94" s="123"/>
      <x:c r="K94" s="87"/>
      <x:c r="L94" s="87"/>
      <x:c r="M94" s="117"/>
      <x:c r="N94" s="87"/>
      <x:c r="O94" s="88"/>
    </x:row>
    <x:row r="95">
      <x:c r="A95" s="86"/>
      <x:c r="B95" s="87"/>
      <x:c r="C95" s="87"/>
      <x:c r="D95" s="111"/>
      <x:c r="E95" s="123"/>
      <x:c r="F95" s="123"/>
      <x:c r="G95" s="123"/>
      <x:c r="H95" s="123"/>
      <x:c r="I95" s="129"/>
      <x:c r="J95" s="123"/>
      <x:c r="K95" s="87"/>
      <x:c r="L95" s="87"/>
      <x:c r="M95" s="117"/>
      <x:c r="N95" s="87"/>
      <x:c r="O95" s="88"/>
    </x:row>
    <x:row r="96">
      <x:c r="A96" s="86"/>
      <x:c r="B96" s="87"/>
      <x:c r="C96" s="87"/>
      <x:c r="D96" s="111"/>
      <x:c r="E96" s="123"/>
      <x:c r="F96" s="123"/>
      <x:c r="G96" s="123"/>
      <x:c r="H96" s="123"/>
      <x:c r="I96" s="129"/>
      <x:c r="J96" s="123"/>
      <x:c r="K96" s="87"/>
      <x:c r="L96" s="87"/>
      <x:c r="M96" s="117"/>
      <x:c r="N96" s="87"/>
      <x:c r="O96" s="88"/>
    </x:row>
    <x:row r="97">
      <x:c r="A97" s="86"/>
      <x:c r="B97" s="87"/>
      <x:c r="C97" s="87"/>
      <x:c r="D97" s="111"/>
      <x:c r="E97" s="123"/>
      <x:c r="F97" s="123"/>
      <x:c r="G97" s="123"/>
      <x:c r="H97" s="123"/>
      <x:c r="I97" s="129"/>
      <x:c r="J97" s="123"/>
      <x:c r="K97" s="87"/>
      <x:c r="L97" s="87"/>
      <x:c r="M97" s="117"/>
      <x:c r="N97" s="87"/>
      <x:c r="O97" s="88"/>
    </x:row>
    <x:row r="98">
      <x:c r="A98" s="86"/>
      <x:c r="B98" s="87"/>
      <x:c r="C98" s="87"/>
      <x:c r="D98" s="111"/>
      <x:c r="E98" s="123"/>
      <x:c r="F98" s="123"/>
      <x:c r="G98" s="123"/>
      <x:c r="H98" s="123"/>
      <x:c r="I98" s="129"/>
      <x:c r="J98" s="123"/>
      <x:c r="K98" s="87"/>
      <x:c r="L98" s="87"/>
      <x:c r="M98" s="117"/>
      <x:c r="N98" s="87"/>
      <x:c r="O98" s="88"/>
    </x:row>
    <x:row r="99">
      <x:c r="A99" s="86"/>
      <x:c r="B99" s="87"/>
      <x:c r="C99" s="87"/>
      <x:c r="D99" s="111"/>
      <x:c r="E99" s="123"/>
      <x:c r="F99" s="123"/>
      <x:c r="G99" s="123"/>
      <x:c r="H99" s="123"/>
      <x:c r="I99" s="129"/>
      <x:c r="J99" s="123"/>
      <x:c r="K99" s="87"/>
      <x:c r="L99" s="87"/>
      <x:c r="M99" s="117"/>
      <x:c r="N99" s="87"/>
      <x:c r="O99" s="88"/>
    </x:row>
    <x:row r="100">
      <x:c r="A100" s="86"/>
      <x:c r="B100" s="87"/>
      <x:c r="C100" s="87"/>
      <x:c r="D100" s="111"/>
      <x:c r="E100" s="123"/>
      <x:c r="F100" s="123"/>
      <x:c r="G100" s="123"/>
      <x:c r="H100" s="123"/>
      <x:c r="I100" s="129"/>
      <x:c r="J100" s="123"/>
      <x:c r="K100" s="87"/>
      <x:c r="L100" s="87"/>
      <x:c r="M100" s="117"/>
      <x:c r="N100" s="87"/>
      <x:c r="O100" s="88"/>
    </x:row>
    <x:row r="101">
      <x:c r="A101" s="86"/>
      <x:c r="B101" s="87"/>
      <x:c r="C101" s="87"/>
      <x:c r="D101" s="111"/>
      <x:c r="E101" s="123"/>
      <x:c r="F101" s="123"/>
      <x:c r="G101" s="123"/>
      <x:c r="H101" s="123"/>
      <x:c r="I101" s="129"/>
      <x:c r="J101" s="123"/>
      <x:c r="K101" s="87"/>
      <x:c r="L101" s="87"/>
      <x:c r="M101" s="117"/>
      <x:c r="N101" s="87"/>
      <x:c r="O101" s="88"/>
    </x:row>
    <x:row r="102">
      <x:c r="A102" s="86"/>
      <x:c r="B102" s="87"/>
      <x:c r="C102" s="87"/>
      <x:c r="D102" s="111"/>
      <x:c r="E102" s="123"/>
      <x:c r="F102" s="123"/>
      <x:c r="G102" s="123"/>
      <x:c r="H102" s="123"/>
      <x:c r="I102" s="129"/>
      <x:c r="J102" s="123"/>
      <x:c r="K102" s="87"/>
      <x:c r="L102" s="87"/>
      <x:c r="M102" s="117"/>
      <x:c r="N102" s="87"/>
      <x:c r="O102" s="88"/>
    </x:row>
    <x:row r="103">
      <x:c r="A103" s="86"/>
      <x:c r="B103" s="87"/>
      <x:c r="C103" s="87"/>
      <x:c r="D103" s="111"/>
      <x:c r="E103" s="123"/>
      <x:c r="F103" s="123"/>
      <x:c r="G103" s="123"/>
      <x:c r="H103" s="123"/>
      <x:c r="I103" s="129"/>
      <x:c r="J103" s="123"/>
      <x:c r="K103" s="87"/>
      <x:c r="L103" s="87"/>
      <x:c r="M103" s="117"/>
      <x:c r="N103" s="87"/>
      <x:c r="O103" s="88"/>
    </x:row>
    <x:row r="104">
      <x:c r="A104" s="86"/>
      <x:c r="B104" s="87"/>
      <x:c r="C104" s="87"/>
      <x:c r="D104" s="111"/>
      <x:c r="E104" s="123"/>
      <x:c r="F104" s="123"/>
      <x:c r="G104" s="123"/>
      <x:c r="H104" s="123"/>
      <x:c r="I104" s="129"/>
      <x:c r="J104" s="123"/>
      <x:c r="K104" s="87"/>
      <x:c r="L104" s="87"/>
      <x:c r="M104" s="117"/>
      <x:c r="N104" s="87"/>
      <x:c r="O104" s="88"/>
    </x:row>
    <x:row r="105">
      <x:c r="A105" s="86"/>
      <x:c r="B105" s="87"/>
      <x:c r="C105" s="87"/>
      <x:c r="D105" s="111"/>
      <x:c r="E105" s="123"/>
      <x:c r="F105" s="123"/>
      <x:c r="G105" s="123"/>
      <x:c r="H105" s="123"/>
      <x:c r="I105" s="129"/>
      <x:c r="J105" s="123"/>
      <x:c r="K105" s="87"/>
      <x:c r="L105" s="87"/>
      <x:c r="M105" s="117"/>
      <x:c r="N105" s="87"/>
      <x:c r="O105" s="88"/>
    </x:row>
    <x:row r="106">
      <x:c r="A106" s="86"/>
      <x:c r="B106" s="87"/>
      <x:c r="C106" s="87"/>
      <x:c r="D106" s="111"/>
      <x:c r="E106" s="123"/>
      <x:c r="F106" s="123"/>
      <x:c r="G106" s="123"/>
      <x:c r="H106" s="123"/>
      <x:c r="I106" s="129"/>
      <x:c r="J106" s="123"/>
      <x:c r="K106" s="87"/>
      <x:c r="L106" s="87"/>
      <x:c r="M106" s="117"/>
      <x:c r="N106" s="87"/>
      <x:c r="O106" s="88"/>
    </x:row>
    <x:row r="107">
      <x:c r="A107" s="86"/>
      <x:c r="B107" s="87"/>
      <x:c r="C107" s="87"/>
      <x:c r="D107" s="111"/>
      <x:c r="E107" s="123"/>
      <x:c r="F107" s="123"/>
      <x:c r="G107" s="123"/>
      <x:c r="H107" s="123"/>
      <x:c r="I107" s="129"/>
      <x:c r="J107" s="123"/>
      <x:c r="K107" s="87"/>
      <x:c r="L107" s="87"/>
      <x:c r="M107" s="117"/>
      <x:c r="N107" s="87"/>
      <x:c r="O107" s="88"/>
    </x:row>
    <x:row r="108">
      <x:c r="A108" s="86"/>
      <x:c r="B108" s="87"/>
      <x:c r="C108" s="87"/>
      <x:c r="D108" s="111"/>
      <x:c r="E108" s="123"/>
      <x:c r="F108" s="123"/>
      <x:c r="G108" s="123"/>
      <x:c r="H108" s="123"/>
      <x:c r="I108" s="129"/>
      <x:c r="J108" s="123"/>
      <x:c r="K108" s="87"/>
      <x:c r="L108" s="87"/>
      <x:c r="M108" s="117"/>
      <x:c r="N108" s="87"/>
      <x:c r="O108" s="88"/>
    </x:row>
    <x:row r="109">
      <x:c r="A109" s="86"/>
      <x:c r="B109" s="87"/>
      <x:c r="C109" s="87"/>
      <x:c r="D109" s="111"/>
      <x:c r="E109" s="123"/>
      <x:c r="F109" s="123"/>
      <x:c r="G109" s="123"/>
      <x:c r="H109" s="123"/>
      <x:c r="I109" s="129"/>
      <x:c r="J109" s="123"/>
      <x:c r="K109" s="87"/>
      <x:c r="L109" s="87"/>
      <x:c r="M109" s="117"/>
      <x:c r="N109" s="87"/>
      <x:c r="O109" s="88"/>
    </x:row>
    <x:row r="110">
      <x:c r="A110" s="86"/>
      <x:c r="B110" s="87"/>
      <x:c r="C110" s="87"/>
      <x:c r="D110" s="111"/>
      <x:c r="E110" s="123"/>
      <x:c r="F110" s="123"/>
      <x:c r="G110" s="123"/>
      <x:c r="H110" s="123"/>
      <x:c r="I110" s="129"/>
      <x:c r="J110" s="123"/>
      <x:c r="K110" s="87"/>
      <x:c r="L110" s="87"/>
      <x:c r="M110" s="117"/>
      <x:c r="N110" s="87"/>
      <x:c r="O110" s="88"/>
    </x:row>
    <x:row r="111">
      <x:c r="A111" s="86"/>
      <x:c r="B111" s="87"/>
      <x:c r="C111" s="87"/>
      <x:c r="D111" s="111"/>
      <x:c r="E111" s="123"/>
      <x:c r="F111" s="123"/>
      <x:c r="G111" s="123"/>
      <x:c r="H111" s="123"/>
      <x:c r="I111" s="129"/>
      <x:c r="J111" s="123"/>
      <x:c r="K111" s="87"/>
      <x:c r="L111" s="87"/>
      <x:c r="M111" s="117"/>
      <x:c r="N111" s="87"/>
      <x:c r="O111" s="88"/>
    </x:row>
    <x:row r="112">
      <x:c r="A112" s="86"/>
      <x:c r="B112" s="87"/>
      <x:c r="C112" s="87"/>
      <x:c r="D112" s="111"/>
      <x:c r="E112" s="123"/>
      <x:c r="F112" s="123"/>
      <x:c r="G112" s="123"/>
      <x:c r="H112" s="123"/>
      <x:c r="I112" s="129"/>
      <x:c r="J112" s="123"/>
      <x:c r="K112" s="87"/>
      <x:c r="L112" s="87"/>
      <x:c r="M112" s="117"/>
      <x:c r="N112" s="87"/>
      <x:c r="O112" s="88"/>
    </x:row>
    <x:row r="113">
      <x:c r="A113" s="86"/>
      <x:c r="B113" s="87"/>
      <x:c r="C113" s="87"/>
      <x:c r="D113" s="111"/>
      <x:c r="E113" s="123"/>
      <x:c r="F113" s="123"/>
      <x:c r="G113" s="123"/>
      <x:c r="H113" s="123"/>
      <x:c r="I113" s="129"/>
      <x:c r="J113" s="123"/>
      <x:c r="K113" s="87"/>
      <x:c r="L113" s="87"/>
      <x:c r="M113" s="117"/>
      <x:c r="N113" s="87"/>
      <x:c r="O113" s="88"/>
    </x:row>
    <x:row r="114">
      <x:c r="A114" s="86"/>
      <x:c r="B114" s="87"/>
      <x:c r="C114" s="87"/>
      <x:c r="D114" s="111"/>
      <x:c r="E114" s="123"/>
      <x:c r="F114" s="123"/>
      <x:c r="G114" s="123"/>
      <x:c r="H114" s="123"/>
      <x:c r="I114" s="129"/>
      <x:c r="J114" s="123"/>
      <x:c r="K114" s="87"/>
      <x:c r="L114" s="87"/>
      <x:c r="M114" s="117"/>
      <x:c r="N114" s="87"/>
      <x:c r="O114" s="88"/>
    </x:row>
    <x:row r="115">
      <x:c r="A115" s="86"/>
      <x:c r="B115" s="87"/>
      <x:c r="C115" s="87"/>
      <x:c r="D115" s="111"/>
      <x:c r="E115" s="123"/>
      <x:c r="F115" s="123"/>
      <x:c r="G115" s="123"/>
      <x:c r="H115" s="123"/>
      <x:c r="I115" s="129"/>
      <x:c r="J115" s="123"/>
      <x:c r="K115" s="87"/>
      <x:c r="L115" s="87"/>
      <x:c r="M115" s="117"/>
      <x:c r="N115" s="87"/>
      <x:c r="O115" s="88"/>
    </x:row>
    <x:row r="116">
      <x:c r="A116" s="86"/>
      <x:c r="B116" s="87"/>
      <x:c r="C116" s="87"/>
      <x:c r="D116" s="111"/>
      <x:c r="E116" s="123"/>
      <x:c r="F116" s="123"/>
      <x:c r="G116" s="123"/>
      <x:c r="H116" s="123"/>
      <x:c r="I116" s="129"/>
      <x:c r="J116" s="123"/>
      <x:c r="K116" s="87"/>
      <x:c r="L116" s="87"/>
      <x:c r="M116" s="117"/>
      <x:c r="N116" s="87"/>
      <x:c r="O116" s="88"/>
    </x:row>
    <x:row r="117">
      <x:c r="A117" s="86"/>
      <x:c r="B117" s="87"/>
      <x:c r="C117" s="87"/>
      <x:c r="D117" s="111"/>
      <x:c r="E117" s="123"/>
      <x:c r="F117" s="123"/>
      <x:c r="G117" s="123"/>
      <x:c r="H117" s="123"/>
      <x:c r="I117" s="129"/>
      <x:c r="J117" s="123"/>
      <x:c r="K117" s="87"/>
      <x:c r="L117" s="87"/>
      <x:c r="M117" s="117"/>
      <x:c r="N117" s="87"/>
      <x:c r="O117" s="88"/>
    </x:row>
    <x:row r="118">
      <x:c r="A118" s="86"/>
      <x:c r="B118" s="87"/>
      <x:c r="C118" s="87"/>
      <x:c r="D118" s="111"/>
      <x:c r="E118" s="123"/>
      <x:c r="F118" s="123"/>
      <x:c r="G118" s="123"/>
      <x:c r="H118" s="123"/>
      <x:c r="I118" s="129"/>
      <x:c r="J118" s="123"/>
      <x:c r="K118" s="87"/>
      <x:c r="L118" s="87"/>
      <x:c r="M118" s="117"/>
      <x:c r="N118" s="87"/>
      <x:c r="O118" s="88"/>
    </x:row>
    <x:row r="119">
      <x:c r="A119" s="86"/>
      <x:c r="B119" s="87"/>
      <x:c r="C119" s="87"/>
      <x:c r="D119" s="111"/>
      <x:c r="E119" s="123"/>
      <x:c r="F119" s="123"/>
      <x:c r="G119" s="123"/>
      <x:c r="H119" s="123"/>
      <x:c r="I119" s="129"/>
      <x:c r="J119" s="123"/>
      <x:c r="K119" s="87"/>
      <x:c r="L119" s="87"/>
      <x:c r="M119" s="117"/>
      <x:c r="N119" s="87"/>
      <x:c r="O119" s="88"/>
    </x:row>
    <x:row r="120">
      <x:c r="A120" s="86"/>
      <x:c r="B120" s="87"/>
      <x:c r="C120" s="87"/>
      <x:c r="D120" s="111"/>
      <x:c r="E120" s="123"/>
      <x:c r="F120" s="123"/>
      <x:c r="G120" s="123"/>
      <x:c r="H120" s="123"/>
      <x:c r="I120" s="129"/>
      <x:c r="J120" s="123"/>
      <x:c r="K120" s="87"/>
      <x:c r="L120" s="87"/>
      <x:c r="M120" s="117"/>
      <x:c r="N120" s="87"/>
      <x:c r="O120" s="88"/>
    </x:row>
    <x:row r="121">
      <x:c r="A121" s="86"/>
      <x:c r="B121" s="87"/>
      <x:c r="C121" s="87"/>
      <x:c r="D121" s="111"/>
      <x:c r="E121" s="123"/>
      <x:c r="F121" s="123"/>
      <x:c r="G121" s="123"/>
      <x:c r="H121" s="123"/>
      <x:c r="I121" s="129"/>
      <x:c r="J121" s="123"/>
      <x:c r="K121" s="87"/>
      <x:c r="L121" s="87"/>
      <x:c r="M121" s="117"/>
      <x:c r="N121" s="87"/>
      <x:c r="O121" s="88"/>
    </x:row>
    <x:row r="122">
      <x:c r="A122" s="86"/>
      <x:c r="B122" s="87"/>
      <x:c r="C122" s="87"/>
      <x:c r="D122" s="111"/>
      <x:c r="E122" s="123"/>
      <x:c r="F122" s="123"/>
      <x:c r="G122" s="123"/>
      <x:c r="H122" s="123"/>
      <x:c r="I122" s="129"/>
      <x:c r="J122" s="123"/>
      <x:c r="K122" s="87"/>
      <x:c r="L122" s="87"/>
      <x:c r="M122" s="117"/>
      <x:c r="N122" s="87"/>
      <x:c r="O122" s="88"/>
    </x:row>
    <x:row r="123">
      <x:c r="A123" s="86"/>
      <x:c r="B123" s="87"/>
      <x:c r="C123" s="87"/>
      <x:c r="D123" s="111"/>
      <x:c r="E123" s="123"/>
      <x:c r="F123" s="123"/>
      <x:c r="G123" s="123"/>
      <x:c r="H123" s="123"/>
      <x:c r="I123" s="129"/>
      <x:c r="J123" s="123"/>
      <x:c r="K123" s="87"/>
      <x:c r="L123" s="87"/>
      <x:c r="M123" s="117"/>
      <x:c r="N123" s="87"/>
      <x:c r="O123" s="88"/>
    </x:row>
    <x:row r="124">
      <x:c r="A124" s="86"/>
      <x:c r="B124" s="87"/>
      <x:c r="C124" s="87"/>
      <x:c r="D124" s="111"/>
      <x:c r="E124" s="123"/>
      <x:c r="F124" s="123"/>
      <x:c r="G124" s="123"/>
      <x:c r="H124" s="123"/>
      <x:c r="I124" s="129"/>
      <x:c r="J124" s="123"/>
      <x:c r="K124" s="87"/>
      <x:c r="L124" s="87"/>
      <x:c r="M124" s="117"/>
      <x:c r="N124" s="87"/>
      <x:c r="O124" s="88"/>
    </x:row>
    <x:row r="125">
      <x:c r="A125" s="86"/>
      <x:c r="B125" s="87"/>
      <x:c r="C125" s="87"/>
      <x:c r="D125" s="111"/>
      <x:c r="E125" s="123"/>
      <x:c r="F125" s="123"/>
      <x:c r="G125" s="123"/>
      <x:c r="H125" s="123"/>
      <x:c r="I125" s="129"/>
      <x:c r="J125" s="123"/>
      <x:c r="K125" s="87"/>
      <x:c r="L125" s="87"/>
      <x:c r="M125" s="117"/>
      <x:c r="N125" s="87"/>
      <x:c r="O125" s="88"/>
    </x:row>
    <x:row r="126">
      <x:c r="A126" s="86"/>
      <x:c r="B126" s="87"/>
      <x:c r="C126" s="87"/>
      <x:c r="D126" s="111"/>
      <x:c r="E126" s="123"/>
      <x:c r="F126" s="123"/>
      <x:c r="G126" s="123"/>
      <x:c r="H126" s="123"/>
      <x:c r="I126" s="129"/>
      <x:c r="J126" s="123"/>
      <x:c r="K126" s="87"/>
      <x:c r="L126" s="87"/>
      <x:c r="M126" s="117"/>
      <x:c r="N126" s="87"/>
      <x:c r="O126" s="88"/>
    </x:row>
    <x:row r="127">
      <x:c r="A127" s="86"/>
      <x:c r="B127" s="87"/>
      <x:c r="C127" s="87"/>
      <x:c r="D127" s="111"/>
      <x:c r="E127" s="123"/>
      <x:c r="F127" s="123"/>
      <x:c r="G127" s="123"/>
      <x:c r="H127" s="123"/>
      <x:c r="I127" s="129"/>
      <x:c r="J127" s="123"/>
      <x:c r="K127" s="87"/>
      <x:c r="L127" s="87"/>
      <x:c r="M127" s="117"/>
      <x:c r="N127" s="87"/>
      <x:c r="O127" s="88"/>
    </x:row>
    <x:row r="128">
      <x:c r="A128" s="86"/>
      <x:c r="B128" s="87"/>
      <x:c r="C128" s="87"/>
      <x:c r="D128" s="111"/>
      <x:c r="E128" s="123"/>
      <x:c r="F128" s="123"/>
      <x:c r="G128" s="123"/>
      <x:c r="H128" s="123"/>
      <x:c r="I128" s="129"/>
      <x:c r="J128" s="123"/>
      <x:c r="K128" s="87"/>
      <x:c r="L128" s="87"/>
      <x:c r="M128" s="117"/>
      <x:c r="N128" s="87"/>
      <x:c r="O128" s="88"/>
    </x:row>
    <x:row r="129">
      <x:c r="A129" s="86"/>
      <x:c r="B129" s="87"/>
      <x:c r="C129" s="87"/>
      <x:c r="D129" s="111"/>
      <x:c r="E129" s="123"/>
      <x:c r="F129" s="123"/>
      <x:c r="G129" s="123"/>
      <x:c r="H129" s="123"/>
      <x:c r="I129" s="129"/>
      <x:c r="J129" s="123"/>
      <x:c r="K129" s="87"/>
      <x:c r="L129" s="87"/>
      <x:c r="M129" s="117"/>
      <x:c r="N129" s="87"/>
      <x:c r="O129" s="88"/>
    </x:row>
    <x:row r="130">
      <x:c r="A130" s="86"/>
      <x:c r="B130" s="87"/>
      <x:c r="C130" s="87"/>
      <x:c r="D130" s="111"/>
      <x:c r="E130" s="123"/>
      <x:c r="F130" s="123"/>
      <x:c r="G130" s="123"/>
      <x:c r="H130" s="123"/>
      <x:c r="I130" s="129"/>
      <x:c r="J130" s="123"/>
      <x:c r="K130" s="87"/>
      <x:c r="L130" s="87"/>
      <x:c r="M130" s="117"/>
      <x:c r="N130" s="87"/>
      <x:c r="O130" s="88"/>
    </x:row>
    <x:row r="131">
      <x:c r="A131" s="86"/>
      <x:c r="B131" s="87"/>
      <x:c r="C131" s="87"/>
      <x:c r="D131" s="111"/>
      <x:c r="E131" s="123"/>
      <x:c r="F131" s="123"/>
      <x:c r="G131" s="123"/>
      <x:c r="H131" s="123"/>
      <x:c r="I131" s="129"/>
      <x:c r="J131" s="123"/>
      <x:c r="K131" s="87"/>
      <x:c r="L131" s="87"/>
      <x:c r="M131" s="117"/>
      <x:c r="N131" s="87"/>
      <x:c r="O131" s="88"/>
    </x:row>
    <x:row r="132">
      <x:c r="A132" s="86"/>
      <x:c r="B132" s="87"/>
      <x:c r="C132" s="87"/>
      <x:c r="D132" s="111"/>
      <x:c r="E132" s="123"/>
      <x:c r="F132" s="123"/>
      <x:c r="G132" s="123"/>
      <x:c r="H132" s="123"/>
      <x:c r="I132" s="129"/>
      <x:c r="J132" s="123"/>
      <x:c r="K132" s="87"/>
      <x:c r="L132" s="87"/>
      <x:c r="M132" s="117"/>
      <x:c r="N132" s="87"/>
      <x:c r="O132" s="88"/>
    </x:row>
    <x:row r="133">
      <x:c r="A133" s="86"/>
      <x:c r="B133" s="87"/>
      <x:c r="C133" s="87"/>
      <x:c r="D133" s="111"/>
      <x:c r="E133" s="123"/>
      <x:c r="F133" s="123"/>
      <x:c r="G133" s="123"/>
      <x:c r="H133" s="123"/>
      <x:c r="I133" s="129"/>
      <x:c r="J133" s="123"/>
      <x:c r="K133" s="87"/>
      <x:c r="L133" s="87"/>
      <x:c r="M133" s="117"/>
      <x:c r="N133" s="87"/>
      <x:c r="O133" s="88"/>
    </x:row>
    <x:row r="134">
      <x:c r="A134" s="86"/>
      <x:c r="B134" s="87"/>
      <x:c r="C134" s="87"/>
      <x:c r="D134" s="111"/>
      <x:c r="E134" s="123"/>
      <x:c r="F134" s="123"/>
      <x:c r="G134" s="123"/>
      <x:c r="H134" s="123"/>
      <x:c r="I134" s="129"/>
      <x:c r="J134" s="123"/>
      <x:c r="K134" s="87"/>
      <x:c r="L134" s="87"/>
      <x:c r="M134" s="117"/>
      <x:c r="N134" s="87"/>
      <x:c r="O134" s="88"/>
    </x:row>
    <x:row r="135">
      <x:c r="A135" s="86"/>
      <x:c r="B135" s="87"/>
      <x:c r="C135" s="87"/>
      <x:c r="D135" s="111"/>
      <x:c r="E135" s="123"/>
      <x:c r="F135" s="123"/>
      <x:c r="G135" s="123"/>
      <x:c r="H135" s="123"/>
      <x:c r="I135" s="129"/>
      <x:c r="J135" s="123"/>
      <x:c r="K135" s="87"/>
      <x:c r="L135" s="87"/>
      <x:c r="M135" s="117"/>
      <x:c r="N135" s="87"/>
      <x:c r="O135" s="88"/>
    </x:row>
    <x:row r="136">
      <x:c r="A136" s="86"/>
      <x:c r="B136" s="87"/>
      <x:c r="C136" s="87"/>
      <x:c r="D136" s="111"/>
      <x:c r="E136" s="123"/>
      <x:c r="F136" s="123"/>
      <x:c r="G136" s="123"/>
      <x:c r="H136" s="123"/>
      <x:c r="I136" s="129"/>
      <x:c r="J136" s="123"/>
      <x:c r="K136" s="87"/>
      <x:c r="L136" s="87"/>
      <x:c r="M136" s="117"/>
      <x:c r="N136" s="87"/>
      <x:c r="O136" s="88"/>
    </x:row>
    <x:row r="137">
      <x:c r="A137" s="86"/>
      <x:c r="B137" s="87"/>
      <x:c r="C137" s="87"/>
      <x:c r="D137" s="111"/>
      <x:c r="E137" s="123"/>
      <x:c r="F137" s="123"/>
      <x:c r="G137" s="123"/>
      <x:c r="H137" s="123"/>
      <x:c r="I137" s="129"/>
      <x:c r="J137" s="123"/>
      <x:c r="K137" s="87"/>
      <x:c r="L137" s="87"/>
      <x:c r="M137" s="117"/>
      <x:c r="N137" s="87"/>
      <x:c r="O137" s="88"/>
    </x:row>
    <x:row r="138">
      <x:c r="A138" s="86"/>
      <x:c r="B138" s="87"/>
      <x:c r="C138" s="87"/>
      <x:c r="D138" s="111"/>
      <x:c r="E138" s="123"/>
      <x:c r="F138" s="123"/>
      <x:c r="G138" s="123"/>
      <x:c r="H138" s="123"/>
      <x:c r="I138" s="129"/>
      <x:c r="J138" s="123"/>
      <x:c r="K138" s="87"/>
      <x:c r="L138" s="87"/>
      <x:c r="M138" s="117"/>
      <x:c r="N138" s="87"/>
      <x:c r="O138" s="88"/>
    </x:row>
    <x:row r="139">
      <x:c r="A139" s="86"/>
      <x:c r="B139" s="87"/>
      <x:c r="C139" s="87"/>
      <x:c r="D139" s="111"/>
      <x:c r="E139" s="123"/>
      <x:c r="F139" s="123"/>
      <x:c r="G139" s="123"/>
      <x:c r="H139" s="123"/>
      <x:c r="I139" s="129"/>
      <x:c r="J139" s="123"/>
      <x:c r="K139" s="87"/>
      <x:c r="L139" s="87"/>
      <x:c r="M139" s="117"/>
      <x:c r="N139" s="87"/>
      <x:c r="O139" s="88"/>
    </x:row>
    <x:row r="140">
      <x:c r="A140" s="86"/>
      <x:c r="B140" s="87"/>
      <x:c r="C140" s="87"/>
      <x:c r="D140" s="111"/>
      <x:c r="E140" s="123"/>
      <x:c r="F140" s="123"/>
      <x:c r="G140" s="123"/>
      <x:c r="H140" s="123"/>
      <x:c r="I140" s="129"/>
      <x:c r="J140" s="123"/>
      <x:c r="K140" s="87"/>
      <x:c r="L140" s="87"/>
      <x:c r="M140" s="117"/>
      <x:c r="N140" s="87"/>
      <x:c r="O140" s="88"/>
    </x:row>
    <x:row r="141">
      <x:c r="A141" s="86"/>
      <x:c r="B141" s="87"/>
      <x:c r="C141" s="87"/>
      <x:c r="D141" s="111"/>
      <x:c r="E141" s="123"/>
      <x:c r="F141" s="123"/>
      <x:c r="G141" s="123"/>
      <x:c r="H141" s="123"/>
      <x:c r="I141" s="129"/>
      <x:c r="J141" s="123"/>
      <x:c r="K141" s="87"/>
      <x:c r="L141" s="87"/>
      <x:c r="M141" s="117"/>
      <x:c r="N141" s="87"/>
      <x:c r="O141" s="88"/>
    </x:row>
    <x:row r="142">
      <x:c r="A142" s="86"/>
      <x:c r="B142" s="87"/>
      <x:c r="C142" s="87"/>
      <x:c r="D142" s="111"/>
      <x:c r="E142" s="123"/>
      <x:c r="F142" s="123"/>
      <x:c r="G142" s="123"/>
      <x:c r="H142" s="123"/>
      <x:c r="I142" s="129"/>
      <x:c r="J142" s="123"/>
      <x:c r="K142" s="87"/>
      <x:c r="L142" s="87"/>
      <x:c r="M142" s="117"/>
      <x:c r="N142" s="87"/>
      <x:c r="O142" s="88"/>
    </x:row>
    <x:row r="143">
      <x:c r="A143" s="86"/>
      <x:c r="B143" s="87"/>
      <x:c r="C143" s="87"/>
      <x:c r="D143" s="111"/>
      <x:c r="E143" s="123"/>
      <x:c r="F143" s="123"/>
      <x:c r="G143" s="123"/>
      <x:c r="H143" s="123"/>
      <x:c r="I143" s="129"/>
      <x:c r="J143" s="123"/>
      <x:c r="K143" s="87"/>
      <x:c r="L143" s="87"/>
      <x:c r="M143" s="117"/>
      <x:c r="N143" s="87"/>
      <x:c r="O143" s="88"/>
    </x:row>
    <x:row r="144">
      <x:c r="A144" s="86"/>
      <x:c r="B144" s="87"/>
      <x:c r="C144" s="87"/>
      <x:c r="D144" s="111"/>
      <x:c r="E144" s="123"/>
      <x:c r="F144" s="123"/>
      <x:c r="G144" s="123"/>
      <x:c r="H144" s="123"/>
      <x:c r="I144" s="129"/>
      <x:c r="J144" s="123"/>
      <x:c r="K144" s="87"/>
      <x:c r="L144" s="87"/>
      <x:c r="M144" s="117"/>
      <x:c r="N144" s="87"/>
      <x:c r="O144" s="88"/>
    </x:row>
    <x:row r="145">
      <x:c r="A145" s="86"/>
      <x:c r="B145" s="87"/>
      <x:c r="C145" s="87"/>
      <x:c r="D145" s="111"/>
      <x:c r="E145" s="123"/>
      <x:c r="F145" s="123"/>
      <x:c r="G145" s="123"/>
      <x:c r="H145" s="123"/>
      <x:c r="I145" s="129"/>
      <x:c r="J145" s="123"/>
      <x:c r="K145" s="87"/>
      <x:c r="L145" s="87"/>
      <x:c r="M145" s="117"/>
      <x:c r="N145" s="87"/>
      <x:c r="O145" s="88"/>
    </x:row>
    <x:row r="146">
      <x:c r="A146" s="86"/>
      <x:c r="B146" s="87"/>
      <x:c r="C146" s="87"/>
      <x:c r="D146" s="111"/>
      <x:c r="E146" s="123"/>
      <x:c r="F146" s="123"/>
      <x:c r="G146" s="123"/>
      <x:c r="H146" s="123"/>
      <x:c r="I146" s="129"/>
      <x:c r="J146" s="123"/>
      <x:c r="K146" s="87"/>
      <x:c r="L146" s="87"/>
      <x:c r="M146" s="117"/>
      <x:c r="N146" s="87"/>
      <x:c r="O146" s="88"/>
    </x:row>
    <x:row r="147">
      <x:c r="A147" s="86"/>
      <x:c r="B147" s="87"/>
      <x:c r="C147" s="87"/>
      <x:c r="D147" s="111"/>
      <x:c r="E147" s="123"/>
      <x:c r="F147" s="123"/>
      <x:c r="G147" s="123"/>
      <x:c r="H147" s="123"/>
      <x:c r="I147" s="129"/>
      <x:c r="J147" s="123"/>
      <x:c r="K147" s="87"/>
      <x:c r="L147" s="87"/>
      <x:c r="M147" s="117"/>
      <x:c r="N147" s="87"/>
      <x:c r="O147" s="88"/>
    </x:row>
    <x:row r="148">
      <x:c r="A148" s="86"/>
      <x:c r="B148" s="87"/>
      <x:c r="C148" s="87"/>
      <x:c r="D148" s="111"/>
      <x:c r="E148" s="123"/>
      <x:c r="F148" s="123"/>
      <x:c r="G148" s="123"/>
      <x:c r="H148" s="123"/>
      <x:c r="I148" s="129"/>
      <x:c r="J148" s="123"/>
      <x:c r="K148" s="87"/>
      <x:c r="L148" s="87"/>
      <x:c r="M148" s="117"/>
      <x:c r="N148" s="87"/>
      <x:c r="O148" s="88"/>
    </x:row>
    <x:row r="149">
      <x:c r="A149" s="86"/>
      <x:c r="B149" s="87"/>
      <x:c r="C149" s="87"/>
      <x:c r="D149" s="111"/>
      <x:c r="E149" s="123"/>
      <x:c r="F149" s="123"/>
      <x:c r="G149" s="123"/>
      <x:c r="H149" s="123"/>
      <x:c r="I149" s="129"/>
      <x:c r="J149" s="123"/>
      <x:c r="K149" s="87"/>
      <x:c r="L149" s="87"/>
      <x:c r="M149" s="117"/>
      <x:c r="N149" s="87"/>
      <x:c r="O149" s="88"/>
    </x:row>
    <x:row r="150">
      <x:c r="A150" s="86"/>
      <x:c r="B150" s="87"/>
      <x:c r="C150" s="87"/>
      <x:c r="D150" s="111"/>
      <x:c r="E150" s="123"/>
      <x:c r="F150" s="123"/>
      <x:c r="G150" s="123"/>
      <x:c r="H150" s="123"/>
      <x:c r="I150" s="129"/>
      <x:c r="J150" s="123"/>
      <x:c r="K150" s="87"/>
      <x:c r="L150" s="87"/>
      <x:c r="M150" s="117"/>
      <x:c r="N150" s="87"/>
      <x:c r="O150" s="88"/>
    </x:row>
    <x:row r="151">
      <x:c r="A151" s="86"/>
      <x:c r="B151" s="87"/>
      <x:c r="C151" s="87"/>
      <x:c r="D151" s="111"/>
      <x:c r="E151" s="123"/>
      <x:c r="F151" s="123"/>
      <x:c r="G151" s="123"/>
      <x:c r="H151" s="123"/>
      <x:c r="I151" s="129"/>
      <x:c r="J151" s="123"/>
      <x:c r="K151" s="87"/>
      <x:c r="L151" s="87"/>
      <x:c r="M151" s="117"/>
      <x:c r="N151" s="87"/>
      <x:c r="O151" s="88"/>
    </x:row>
    <x:row r="152">
      <x:c r="A152" s="86"/>
      <x:c r="B152" s="87"/>
      <x:c r="C152" s="87"/>
      <x:c r="D152" s="111"/>
      <x:c r="E152" s="123"/>
      <x:c r="F152" s="123"/>
      <x:c r="G152" s="123"/>
      <x:c r="H152" s="123"/>
      <x:c r="I152" s="129"/>
      <x:c r="J152" s="123"/>
      <x:c r="K152" s="87"/>
      <x:c r="L152" s="87"/>
      <x:c r="M152" s="117"/>
      <x:c r="N152" s="87"/>
      <x:c r="O152" s="88"/>
    </x:row>
    <x:row r="153">
      <x:c r="A153" s="86"/>
      <x:c r="B153" s="87"/>
      <x:c r="C153" s="87"/>
      <x:c r="D153" s="111"/>
      <x:c r="E153" s="123"/>
      <x:c r="F153" s="123"/>
      <x:c r="G153" s="123"/>
      <x:c r="H153" s="123"/>
      <x:c r="I153" s="129"/>
      <x:c r="J153" s="123"/>
      <x:c r="K153" s="87"/>
      <x:c r="L153" s="87"/>
      <x:c r="M153" s="117"/>
      <x:c r="N153" s="87"/>
      <x:c r="O153" s="88"/>
    </x:row>
    <x:row r="154">
      <x:c r="A154" s="86"/>
      <x:c r="B154" s="87"/>
      <x:c r="C154" s="87"/>
      <x:c r="D154" s="111"/>
      <x:c r="E154" s="123"/>
      <x:c r="F154" s="123"/>
      <x:c r="G154" s="123"/>
      <x:c r="H154" s="123"/>
      <x:c r="I154" s="129"/>
      <x:c r="J154" s="123"/>
      <x:c r="K154" s="87"/>
      <x:c r="L154" s="87"/>
      <x:c r="M154" s="117"/>
      <x:c r="N154" s="87"/>
      <x:c r="O154" s="88"/>
    </x:row>
    <x:row r="155">
      <x:c r="A155" s="86"/>
      <x:c r="B155" s="87"/>
      <x:c r="C155" s="87"/>
      <x:c r="D155" s="111"/>
      <x:c r="E155" s="123"/>
      <x:c r="F155" s="123"/>
      <x:c r="G155" s="123"/>
      <x:c r="H155" s="123"/>
      <x:c r="I155" s="129"/>
      <x:c r="J155" s="123"/>
      <x:c r="K155" s="87"/>
      <x:c r="L155" s="87"/>
      <x:c r="M155" s="117"/>
      <x:c r="N155" s="87"/>
      <x:c r="O155" s="88"/>
    </x:row>
    <x:row r="156">
      <x:c r="A156" s="86"/>
      <x:c r="B156" s="87"/>
      <x:c r="C156" s="87"/>
      <x:c r="D156" s="111"/>
      <x:c r="E156" s="123"/>
      <x:c r="F156" s="123"/>
      <x:c r="G156" s="123"/>
      <x:c r="H156" s="123"/>
      <x:c r="I156" s="129"/>
      <x:c r="J156" s="123"/>
      <x:c r="K156" s="87"/>
      <x:c r="L156" s="87"/>
      <x:c r="M156" s="117"/>
      <x:c r="N156" s="87"/>
      <x:c r="O156" s="88"/>
    </x:row>
    <x:row r="157">
      <x:c r="A157" s="86"/>
      <x:c r="B157" s="87"/>
      <x:c r="C157" s="87"/>
      <x:c r="D157" s="111"/>
      <x:c r="E157" s="123"/>
      <x:c r="F157" s="123"/>
      <x:c r="G157" s="123"/>
      <x:c r="H157" s="123"/>
      <x:c r="I157" s="129"/>
      <x:c r="J157" s="123"/>
      <x:c r="K157" s="87"/>
      <x:c r="L157" s="87"/>
      <x:c r="M157" s="117"/>
      <x:c r="N157" s="87"/>
      <x:c r="O157" s="88"/>
    </x:row>
    <x:row r="158">
      <x:c r="A158" s="86"/>
      <x:c r="B158" s="87"/>
      <x:c r="C158" s="87"/>
      <x:c r="D158" s="111"/>
      <x:c r="E158" s="123"/>
      <x:c r="F158" s="123"/>
      <x:c r="G158" s="123"/>
      <x:c r="H158" s="123"/>
      <x:c r="I158" s="129"/>
      <x:c r="J158" s="123"/>
      <x:c r="K158" s="87"/>
      <x:c r="L158" s="87"/>
      <x:c r="M158" s="117"/>
      <x:c r="N158" s="87"/>
      <x:c r="O158" s="88"/>
    </x:row>
    <x:row r="159">
      <x:c r="A159" s="86"/>
      <x:c r="B159" s="87"/>
      <x:c r="C159" s="87"/>
      <x:c r="D159" s="111"/>
      <x:c r="E159" s="123"/>
      <x:c r="F159" s="123"/>
      <x:c r="G159" s="123"/>
      <x:c r="H159" s="123"/>
      <x:c r="I159" s="129"/>
      <x:c r="J159" s="123"/>
      <x:c r="K159" s="87"/>
      <x:c r="L159" s="87"/>
      <x:c r="M159" s="117"/>
      <x:c r="N159" s="87"/>
      <x:c r="O159" s="88"/>
    </x:row>
    <x:row r="160">
      <x:c r="A160" s="86"/>
      <x:c r="B160" s="87"/>
      <x:c r="C160" s="87"/>
      <x:c r="D160" s="111"/>
      <x:c r="E160" s="123"/>
      <x:c r="F160" s="123"/>
      <x:c r="G160" s="123"/>
      <x:c r="H160" s="123"/>
      <x:c r="I160" s="129"/>
      <x:c r="J160" s="123"/>
      <x:c r="K160" s="87"/>
      <x:c r="L160" s="87"/>
      <x:c r="M160" s="117"/>
      <x:c r="N160" s="87"/>
      <x:c r="O160" s="88"/>
    </x:row>
    <x:row r="161">
      <x:c r="A161" s="86"/>
      <x:c r="B161" s="87"/>
      <x:c r="C161" s="87"/>
      <x:c r="D161" s="111"/>
      <x:c r="E161" s="123"/>
      <x:c r="F161" s="123"/>
      <x:c r="G161" s="123"/>
      <x:c r="H161" s="123"/>
      <x:c r="I161" s="129"/>
      <x:c r="J161" s="123"/>
      <x:c r="K161" s="87"/>
      <x:c r="L161" s="87"/>
      <x:c r="M161" s="117"/>
      <x:c r="N161" s="87"/>
      <x:c r="O161" s="88"/>
    </x:row>
    <x:row r="162">
      <x:c r="A162" s="86"/>
      <x:c r="B162" s="87"/>
      <x:c r="C162" s="87"/>
      <x:c r="D162" s="111"/>
      <x:c r="E162" s="123"/>
      <x:c r="F162" s="123"/>
      <x:c r="G162" s="123"/>
      <x:c r="H162" s="123"/>
      <x:c r="I162" s="129"/>
      <x:c r="J162" s="123"/>
      <x:c r="K162" s="87"/>
      <x:c r="L162" s="87"/>
      <x:c r="M162" s="117"/>
      <x:c r="N162" s="87"/>
      <x:c r="O162" s="88"/>
    </x:row>
    <x:row r="163">
      <x:c r="A163" s="86"/>
      <x:c r="B163" s="87"/>
      <x:c r="C163" s="87"/>
      <x:c r="D163" s="111"/>
      <x:c r="E163" s="123"/>
      <x:c r="F163" s="123"/>
      <x:c r="G163" s="123"/>
      <x:c r="H163" s="123"/>
      <x:c r="I163" s="129"/>
      <x:c r="J163" s="123"/>
      <x:c r="K163" s="87"/>
      <x:c r="L163" s="87"/>
      <x:c r="M163" s="117"/>
      <x:c r="N163" s="87"/>
      <x:c r="O163" s="88"/>
    </x:row>
    <x:row r="164">
      <x:c r="A164" s="86"/>
      <x:c r="B164" s="87"/>
      <x:c r="C164" s="87"/>
      <x:c r="D164" s="111"/>
      <x:c r="E164" s="123"/>
      <x:c r="F164" s="123"/>
      <x:c r="G164" s="123"/>
      <x:c r="H164" s="123"/>
      <x:c r="I164" s="129"/>
      <x:c r="J164" s="123"/>
      <x:c r="K164" s="87"/>
      <x:c r="L164" s="87"/>
      <x:c r="M164" s="117"/>
      <x:c r="N164" s="87"/>
      <x:c r="O164" s="88"/>
    </x:row>
    <x:row r="165">
      <x:c r="A165" s="86"/>
      <x:c r="B165" s="87"/>
      <x:c r="C165" s="87"/>
      <x:c r="D165" s="111"/>
      <x:c r="E165" s="123"/>
      <x:c r="F165" s="123"/>
      <x:c r="G165" s="123"/>
      <x:c r="H165" s="123"/>
      <x:c r="I165" s="129"/>
      <x:c r="J165" s="123"/>
      <x:c r="K165" s="87"/>
      <x:c r="L165" s="87"/>
      <x:c r="M165" s="117"/>
      <x:c r="N165" s="87"/>
      <x:c r="O165" s="88"/>
    </x:row>
    <x:row r="166">
      <x:c r="A166" s="86"/>
      <x:c r="B166" s="87"/>
      <x:c r="C166" s="87"/>
      <x:c r="D166" s="111"/>
      <x:c r="E166" s="123"/>
      <x:c r="F166" s="123"/>
      <x:c r="G166" s="123"/>
      <x:c r="H166" s="123"/>
      <x:c r="I166" s="129"/>
      <x:c r="J166" s="123"/>
      <x:c r="K166" s="87"/>
      <x:c r="L166" s="87"/>
      <x:c r="M166" s="117"/>
      <x:c r="N166" s="87"/>
      <x:c r="O166" s="88"/>
    </x:row>
    <x:row r="167">
      <x:c r="A167" s="86"/>
      <x:c r="B167" s="87"/>
      <x:c r="C167" s="87"/>
      <x:c r="D167" s="111"/>
      <x:c r="E167" s="123"/>
      <x:c r="F167" s="123"/>
      <x:c r="G167" s="123"/>
      <x:c r="H167" s="123"/>
      <x:c r="I167" s="129"/>
      <x:c r="J167" s="123"/>
      <x:c r="K167" s="87"/>
      <x:c r="L167" s="87"/>
      <x:c r="M167" s="117"/>
      <x:c r="N167" s="87"/>
      <x:c r="O167" s="88"/>
    </x:row>
    <x:row r="168">
      <x:c r="A168" s="86"/>
      <x:c r="B168" s="87"/>
      <x:c r="C168" s="87"/>
      <x:c r="D168" s="111"/>
      <x:c r="E168" s="123"/>
      <x:c r="F168" s="123"/>
      <x:c r="G168" s="123"/>
      <x:c r="H168" s="123"/>
      <x:c r="I168" s="129"/>
      <x:c r="J168" s="123"/>
      <x:c r="K168" s="87"/>
      <x:c r="L168" s="87"/>
      <x:c r="M168" s="117"/>
      <x:c r="N168" s="87"/>
      <x:c r="O168" s="88"/>
    </x:row>
    <x:row r="169">
      <x:c r="A169" s="86"/>
      <x:c r="B169" s="87"/>
      <x:c r="C169" s="87"/>
      <x:c r="D169" s="111"/>
      <x:c r="E169" s="123"/>
      <x:c r="F169" s="123"/>
      <x:c r="G169" s="123"/>
      <x:c r="H169" s="123"/>
      <x:c r="I169" s="129"/>
      <x:c r="J169" s="123"/>
      <x:c r="K169" s="87"/>
      <x:c r="L169" s="87"/>
      <x:c r="M169" s="117"/>
      <x:c r="N169" s="87"/>
      <x:c r="O169" s="88"/>
    </x:row>
    <x:row r="170">
      <x:c r="A170" s="86"/>
      <x:c r="B170" s="87"/>
      <x:c r="C170" s="87"/>
      <x:c r="D170" s="111"/>
      <x:c r="E170" s="123"/>
      <x:c r="F170" s="123"/>
      <x:c r="G170" s="123"/>
      <x:c r="H170" s="123"/>
      <x:c r="I170" s="129"/>
      <x:c r="J170" s="123"/>
      <x:c r="K170" s="87"/>
      <x:c r="L170" s="87"/>
      <x:c r="M170" s="117"/>
      <x:c r="N170" s="87"/>
      <x:c r="O170" s="88"/>
    </x:row>
    <x:row r="171">
      <x:c r="A171" s="86"/>
      <x:c r="B171" s="87"/>
      <x:c r="C171" s="87"/>
      <x:c r="D171" s="111"/>
      <x:c r="E171" s="123"/>
      <x:c r="F171" s="123"/>
      <x:c r="G171" s="123"/>
      <x:c r="H171" s="123"/>
      <x:c r="I171" s="129"/>
      <x:c r="J171" s="123"/>
      <x:c r="K171" s="87"/>
      <x:c r="L171" s="87"/>
      <x:c r="M171" s="117"/>
      <x:c r="N171" s="87"/>
      <x:c r="O171" s="88"/>
    </x:row>
    <x:row r="172">
      <x:c r="A172" s="86"/>
      <x:c r="B172" s="87"/>
      <x:c r="C172" s="87"/>
      <x:c r="D172" s="111"/>
      <x:c r="E172" s="123"/>
      <x:c r="F172" s="123"/>
      <x:c r="G172" s="123"/>
      <x:c r="H172" s="123"/>
      <x:c r="I172" s="129"/>
      <x:c r="J172" s="123"/>
      <x:c r="K172" s="87"/>
      <x:c r="L172" s="87"/>
      <x:c r="M172" s="117"/>
      <x:c r="N172" s="87"/>
      <x:c r="O172" s="88"/>
    </x:row>
    <x:row r="173">
      <x:c r="A173" s="86"/>
      <x:c r="B173" s="87"/>
      <x:c r="C173" s="87"/>
      <x:c r="D173" s="111"/>
      <x:c r="E173" s="123"/>
      <x:c r="F173" s="123"/>
      <x:c r="G173" s="123"/>
      <x:c r="H173" s="123"/>
      <x:c r="I173" s="129"/>
      <x:c r="J173" s="123"/>
      <x:c r="K173" s="87"/>
      <x:c r="L173" s="87"/>
      <x:c r="M173" s="117"/>
      <x:c r="N173" s="87"/>
      <x:c r="O173" s="88"/>
    </x:row>
    <x:row r="174">
      <x:c r="A174" s="86"/>
      <x:c r="B174" s="87"/>
      <x:c r="C174" s="87"/>
      <x:c r="D174" s="111"/>
      <x:c r="E174" s="123"/>
      <x:c r="F174" s="123"/>
      <x:c r="G174" s="123"/>
      <x:c r="H174" s="123"/>
      <x:c r="I174" s="129"/>
      <x:c r="J174" s="123"/>
      <x:c r="K174" s="87"/>
      <x:c r="L174" s="87"/>
      <x:c r="M174" s="117"/>
      <x:c r="N174" s="87"/>
      <x:c r="O174" s="88"/>
    </x:row>
    <x:row r="175">
      <x:c r="A175" s="86"/>
      <x:c r="B175" s="87"/>
      <x:c r="C175" s="87"/>
      <x:c r="D175" s="111"/>
      <x:c r="E175" s="123"/>
      <x:c r="F175" s="123"/>
      <x:c r="G175" s="123"/>
      <x:c r="H175" s="123"/>
      <x:c r="I175" s="129"/>
      <x:c r="J175" s="123"/>
      <x:c r="K175" s="87"/>
      <x:c r="L175" s="87"/>
      <x:c r="M175" s="117"/>
      <x:c r="N175" s="87"/>
      <x:c r="O175" s="88"/>
    </x:row>
    <x:row r="176">
      <x:c r="A176" s="86"/>
      <x:c r="B176" s="87"/>
      <x:c r="C176" s="87"/>
      <x:c r="D176" s="111"/>
      <x:c r="E176" s="123"/>
      <x:c r="F176" s="123"/>
      <x:c r="G176" s="123"/>
      <x:c r="H176" s="123"/>
      <x:c r="I176" s="129"/>
      <x:c r="J176" s="123"/>
      <x:c r="K176" s="87"/>
      <x:c r="L176" s="87"/>
      <x:c r="M176" s="117"/>
      <x:c r="N176" s="87"/>
      <x:c r="O176" s="88"/>
    </x:row>
    <x:row r="177">
      <x:c r="A177" s="86"/>
      <x:c r="B177" s="87"/>
      <x:c r="C177" s="87"/>
      <x:c r="D177" s="111"/>
      <x:c r="E177" s="123"/>
      <x:c r="F177" s="123"/>
      <x:c r="G177" s="123"/>
      <x:c r="H177" s="123"/>
      <x:c r="I177" s="129"/>
      <x:c r="J177" s="123"/>
      <x:c r="K177" s="87"/>
      <x:c r="L177" s="87"/>
      <x:c r="M177" s="117"/>
      <x:c r="N177" s="87"/>
      <x:c r="O177" s="88"/>
    </x:row>
    <x:row r="178">
      <x:c r="A178" s="86"/>
      <x:c r="B178" s="87"/>
      <x:c r="C178" s="87"/>
      <x:c r="D178" s="111"/>
      <x:c r="E178" s="123"/>
      <x:c r="F178" s="123"/>
      <x:c r="G178" s="123"/>
      <x:c r="H178" s="123"/>
      <x:c r="I178" s="129"/>
      <x:c r="J178" s="123"/>
      <x:c r="K178" s="87"/>
      <x:c r="L178" s="87"/>
      <x:c r="M178" s="117"/>
      <x:c r="N178" s="87"/>
      <x:c r="O178" s="88"/>
    </x:row>
    <x:row r="179">
      <x:c r="A179" s="86"/>
      <x:c r="B179" s="87"/>
      <x:c r="C179" s="87"/>
      <x:c r="D179" s="111"/>
      <x:c r="E179" s="123"/>
      <x:c r="F179" s="123"/>
      <x:c r="G179" s="123"/>
      <x:c r="H179" s="123"/>
      <x:c r="I179" s="129"/>
      <x:c r="J179" s="123"/>
      <x:c r="K179" s="87"/>
      <x:c r="L179" s="87"/>
      <x:c r="M179" s="117"/>
      <x:c r="N179" s="87"/>
      <x:c r="O179" s="88"/>
    </x:row>
    <x:row r="180">
      <x:c r="A180" s="86"/>
      <x:c r="B180" s="87"/>
      <x:c r="C180" s="87"/>
      <x:c r="D180" s="111"/>
      <x:c r="E180" s="123"/>
      <x:c r="F180" s="123"/>
      <x:c r="G180" s="123"/>
      <x:c r="H180" s="123"/>
      <x:c r="I180" s="129"/>
      <x:c r="J180" s="123"/>
      <x:c r="K180" s="87"/>
      <x:c r="L180" s="87"/>
      <x:c r="M180" s="117"/>
      <x:c r="N180" s="87"/>
      <x:c r="O180" s="88"/>
    </x:row>
    <x:row r="181">
      <x:c r="A181" s="86"/>
      <x:c r="B181" s="87"/>
      <x:c r="C181" s="87"/>
      <x:c r="D181" s="111"/>
      <x:c r="E181" s="123"/>
      <x:c r="F181" s="123"/>
      <x:c r="G181" s="123"/>
      <x:c r="H181" s="123"/>
      <x:c r="I181" s="129"/>
      <x:c r="J181" s="123"/>
      <x:c r="K181" s="87"/>
      <x:c r="L181" s="87"/>
      <x:c r="M181" s="117"/>
      <x:c r="N181" s="87"/>
      <x:c r="O181" s="88"/>
    </x:row>
    <x:row r="182">
      <x:c r="A182" s="86"/>
      <x:c r="B182" s="87"/>
      <x:c r="C182" s="87"/>
      <x:c r="D182" s="111"/>
      <x:c r="E182" s="123"/>
      <x:c r="F182" s="123"/>
      <x:c r="G182" s="123"/>
      <x:c r="H182" s="123"/>
      <x:c r="I182" s="129"/>
      <x:c r="J182" s="123"/>
      <x:c r="K182" s="87"/>
      <x:c r="L182" s="87"/>
      <x:c r="M182" s="117"/>
      <x:c r="N182" s="87"/>
      <x:c r="O182" s="88"/>
    </x:row>
    <x:row r="183">
      <x:c r="A183" s="86"/>
      <x:c r="B183" s="87"/>
      <x:c r="C183" s="87"/>
      <x:c r="D183" s="111"/>
      <x:c r="E183" s="123"/>
      <x:c r="F183" s="123"/>
      <x:c r="G183" s="123"/>
      <x:c r="H183" s="123"/>
      <x:c r="I183" s="129"/>
      <x:c r="J183" s="123"/>
      <x:c r="K183" s="87"/>
      <x:c r="L183" s="87"/>
      <x:c r="M183" s="117"/>
      <x:c r="N183" s="87"/>
      <x:c r="O183" s="88"/>
    </x:row>
    <x:row r="184">
      <x:c r="A184" s="86"/>
      <x:c r="B184" s="87"/>
      <x:c r="C184" s="87"/>
      <x:c r="D184" s="111"/>
      <x:c r="E184" s="123"/>
      <x:c r="F184" s="123"/>
      <x:c r="G184" s="123"/>
      <x:c r="H184" s="123"/>
      <x:c r="I184" s="129"/>
      <x:c r="J184" s="123"/>
      <x:c r="K184" s="87"/>
      <x:c r="L184" s="87"/>
      <x:c r="M184" s="117"/>
      <x:c r="N184" s="87"/>
      <x:c r="O184" s="88"/>
    </x:row>
    <x:row r="185">
      <x:c r="A185" s="86"/>
      <x:c r="B185" s="87"/>
      <x:c r="C185" s="87"/>
      <x:c r="D185" s="111"/>
      <x:c r="E185" s="123"/>
      <x:c r="F185" s="123"/>
      <x:c r="G185" s="123"/>
      <x:c r="H185" s="123"/>
      <x:c r="I185" s="129"/>
      <x:c r="J185" s="123"/>
      <x:c r="K185" s="87"/>
      <x:c r="L185" s="87"/>
      <x:c r="M185" s="117"/>
      <x:c r="N185" s="87"/>
      <x:c r="O185" s="88"/>
    </x:row>
    <x:row r="186">
      <x:c r="A186" s="86"/>
      <x:c r="B186" s="87"/>
      <x:c r="C186" s="87"/>
      <x:c r="D186" s="111"/>
      <x:c r="E186" s="123"/>
      <x:c r="F186" s="123"/>
      <x:c r="G186" s="123"/>
      <x:c r="H186" s="123"/>
      <x:c r="I186" s="129"/>
      <x:c r="J186" s="123"/>
      <x:c r="K186" s="87"/>
      <x:c r="L186" s="87"/>
      <x:c r="M186" s="117"/>
      <x:c r="N186" s="87"/>
      <x:c r="O186" s="88"/>
    </x:row>
    <x:row r="187">
      <x:c r="A187" s="86"/>
      <x:c r="B187" s="87"/>
      <x:c r="C187" s="87"/>
      <x:c r="D187" s="111"/>
      <x:c r="E187" s="123"/>
      <x:c r="F187" s="123"/>
      <x:c r="G187" s="123"/>
      <x:c r="H187" s="123"/>
      <x:c r="I187" s="129"/>
      <x:c r="J187" s="123"/>
      <x:c r="K187" s="87"/>
      <x:c r="L187" s="87"/>
      <x:c r="M187" s="117"/>
      <x:c r="N187" s="87"/>
      <x:c r="O187" s="88"/>
    </x:row>
    <x:row r="188">
      <x:c r="A188" s="86"/>
      <x:c r="B188" s="87"/>
      <x:c r="C188" s="87"/>
      <x:c r="D188" s="111"/>
      <x:c r="E188" s="123"/>
      <x:c r="F188" s="123"/>
      <x:c r="G188" s="123"/>
      <x:c r="H188" s="123"/>
      <x:c r="I188" s="129"/>
      <x:c r="J188" s="123"/>
      <x:c r="K188" s="87"/>
      <x:c r="L188" s="87"/>
      <x:c r="M188" s="117"/>
      <x:c r="N188" s="87"/>
      <x:c r="O188" s="88"/>
    </x:row>
    <x:row r="189">
      <x:c r="A189" s="86"/>
      <x:c r="B189" s="87"/>
      <x:c r="C189" s="87"/>
      <x:c r="D189" s="111"/>
      <x:c r="E189" s="123"/>
      <x:c r="F189" s="123"/>
      <x:c r="G189" s="123"/>
      <x:c r="H189" s="123"/>
      <x:c r="I189" s="129"/>
      <x:c r="J189" s="123"/>
      <x:c r="K189" s="87"/>
      <x:c r="L189" s="87"/>
      <x:c r="M189" s="117"/>
      <x:c r="N189" s="87"/>
      <x:c r="O189" s="88"/>
    </x:row>
    <x:row r="190">
      <x:c r="A190" s="86"/>
      <x:c r="B190" s="87"/>
      <x:c r="C190" s="87"/>
      <x:c r="D190" s="111"/>
      <x:c r="E190" s="123"/>
      <x:c r="F190" s="123"/>
      <x:c r="G190" s="123"/>
      <x:c r="H190" s="123"/>
      <x:c r="I190" s="129"/>
      <x:c r="J190" s="123"/>
      <x:c r="K190" s="87"/>
      <x:c r="L190" s="87"/>
      <x:c r="M190" s="117"/>
      <x:c r="N190" s="87"/>
      <x:c r="O190" s="88"/>
    </x:row>
    <x:row r="191">
      <x:c r="A191" s="86"/>
      <x:c r="B191" s="87"/>
      <x:c r="C191" s="87"/>
      <x:c r="D191" s="111"/>
      <x:c r="E191" s="123"/>
      <x:c r="F191" s="123"/>
      <x:c r="G191" s="123"/>
      <x:c r="H191" s="123"/>
      <x:c r="I191" s="129"/>
      <x:c r="J191" s="123"/>
      <x:c r="K191" s="87"/>
      <x:c r="L191" s="87"/>
      <x:c r="M191" s="117"/>
      <x:c r="N191" s="87"/>
      <x:c r="O191" s="88"/>
    </x:row>
    <x:row r="192">
      <x:c r="A192" s="86"/>
      <x:c r="B192" s="87"/>
      <x:c r="C192" s="87"/>
      <x:c r="D192" s="111"/>
      <x:c r="E192" s="123"/>
      <x:c r="F192" s="123"/>
      <x:c r="G192" s="123"/>
      <x:c r="H192" s="123"/>
      <x:c r="I192" s="129"/>
      <x:c r="J192" s="123"/>
      <x:c r="K192" s="87"/>
      <x:c r="L192" s="87"/>
      <x:c r="M192" s="117"/>
      <x:c r="N192" s="87"/>
      <x:c r="O192" s="88"/>
    </x:row>
    <x:row r="193">
      <x:c r="A193" s="86"/>
      <x:c r="B193" s="87"/>
      <x:c r="C193" s="87"/>
      <x:c r="D193" s="111"/>
      <x:c r="E193" s="123"/>
      <x:c r="F193" s="123"/>
      <x:c r="G193" s="123"/>
      <x:c r="H193" s="123"/>
      <x:c r="I193" s="129"/>
      <x:c r="J193" s="123"/>
      <x:c r="K193" s="87"/>
      <x:c r="L193" s="87"/>
      <x:c r="M193" s="117"/>
      <x:c r="N193" s="87"/>
      <x:c r="O193" s="88"/>
    </x:row>
    <x:row r="194">
      <x:c r="A194" s="86"/>
      <x:c r="B194" s="87"/>
      <x:c r="C194" s="87"/>
      <x:c r="D194" s="111"/>
      <x:c r="E194" s="123"/>
      <x:c r="F194" s="123"/>
      <x:c r="G194" s="123"/>
      <x:c r="H194" s="123"/>
      <x:c r="I194" s="129"/>
      <x:c r="J194" s="123"/>
      <x:c r="K194" s="87"/>
      <x:c r="L194" s="87"/>
      <x:c r="M194" s="117"/>
      <x:c r="N194" s="87"/>
      <x:c r="O194" s="88"/>
    </x:row>
    <x:row r="195">
      <x:c r="A195" s="86"/>
      <x:c r="B195" s="87"/>
      <x:c r="C195" s="87"/>
      <x:c r="D195" s="111"/>
      <x:c r="E195" s="123"/>
      <x:c r="F195" s="123"/>
      <x:c r="G195" s="123"/>
      <x:c r="H195" s="123"/>
      <x:c r="I195" s="129"/>
      <x:c r="J195" s="123"/>
      <x:c r="K195" s="87"/>
      <x:c r="L195" s="87"/>
      <x:c r="M195" s="117"/>
      <x:c r="N195" s="87"/>
      <x:c r="O195" s="88"/>
    </x:row>
    <x:row r="196">
      <x:c r="A196" s="86"/>
      <x:c r="B196" s="87"/>
      <x:c r="C196" s="87"/>
      <x:c r="D196" s="111"/>
      <x:c r="E196" s="123"/>
      <x:c r="F196" s="123"/>
      <x:c r="G196" s="123"/>
      <x:c r="H196" s="123"/>
      <x:c r="I196" s="129"/>
      <x:c r="J196" s="123"/>
      <x:c r="K196" s="87"/>
      <x:c r="L196" s="87"/>
      <x:c r="M196" s="117"/>
      <x:c r="N196" s="87"/>
      <x:c r="O196" s="88"/>
    </x:row>
    <x:row r="197">
      <x:c r="A197" s="86"/>
      <x:c r="B197" s="87"/>
      <x:c r="C197" s="87"/>
      <x:c r="D197" s="111"/>
      <x:c r="E197" s="123"/>
      <x:c r="F197" s="123"/>
      <x:c r="G197" s="123"/>
      <x:c r="H197" s="123"/>
      <x:c r="I197" s="129"/>
      <x:c r="J197" s="123"/>
      <x:c r="K197" s="87"/>
      <x:c r="L197" s="87"/>
      <x:c r="M197" s="117"/>
      <x:c r="N197" s="87"/>
      <x:c r="O197" s="88"/>
    </x:row>
    <x:row r="198">
      <x:c r="A198" s="86"/>
      <x:c r="B198" s="87"/>
      <x:c r="C198" s="87"/>
      <x:c r="D198" s="111"/>
      <x:c r="E198" s="123"/>
      <x:c r="F198" s="123"/>
      <x:c r="G198" s="123"/>
      <x:c r="H198" s="123"/>
      <x:c r="I198" s="129"/>
      <x:c r="J198" s="123"/>
      <x:c r="K198" s="87"/>
      <x:c r="L198" s="87"/>
      <x:c r="M198" s="117"/>
      <x:c r="N198" s="87"/>
      <x:c r="O198" s="88"/>
    </x:row>
    <x:row r="199">
      <x:c r="A199" s="86"/>
      <x:c r="B199" s="87"/>
      <x:c r="C199" s="87"/>
      <x:c r="D199" s="111"/>
      <x:c r="E199" s="123"/>
      <x:c r="F199" s="123"/>
      <x:c r="G199" s="123"/>
      <x:c r="H199" s="123"/>
      <x:c r="I199" s="129"/>
      <x:c r="J199" s="123"/>
      <x:c r="K199" s="87"/>
      <x:c r="L199" s="87"/>
      <x:c r="M199" s="117"/>
      <x:c r="N199" s="87"/>
      <x:c r="O199" s="88"/>
    </x:row>
    <x:row r="200">
      <x:c r="A200" s="86"/>
      <x:c r="B200" s="87"/>
      <x:c r="C200" s="87"/>
      <x:c r="D200" s="111"/>
      <x:c r="E200" s="123"/>
      <x:c r="F200" s="123"/>
      <x:c r="G200" s="123"/>
      <x:c r="H200" s="123"/>
      <x:c r="I200" s="129"/>
      <x:c r="J200" s="123"/>
      <x:c r="K200" s="87"/>
      <x:c r="L200" s="87"/>
      <x:c r="M200" s="117"/>
      <x:c r="N200" s="87"/>
      <x:c r="O200" s="88"/>
    </x:row>
    <x:row r="201">
      <x:c r="A201" s="86"/>
      <x:c r="B201" s="87"/>
      <x:c r="C201" s="87"/>
      <x:c r="D201" s="111"/>
      <x:c r="E201" s="123"/>
      <x:c r="F201" s="123"/>
      <x:c r="G201" s="123"/>
      <x:c r="H201" s="123"/>
      <x:c r="I201" s="129"/>
      <x:c r="J201" s="123"/>
      <x:c r="K201" s="87"/>
      <x:c r="L201" s="87"/>
      <x:c r="M201" s="117"/>
      <x:c r="N201" s="87"/>
      <x:c r="O201" s="88"/>
    </x:row>
    <x:row r="202">
      <x:c r="A202" s="86"/>
      <x:c r="B202" s="87"/>
      <x:c r="C202" s="87"/>
      <x:c r="D202" s="111"/>
      <x:c r="E202" s="123"/>
      <x:c r="F202" s="123"/>
      <x:c r="G202" s="123"/>
      <x:c r="H202" s="123"/>
      <x:c r="I202" s="129"/>
      <x:c r="J202" s="123"/>
      <x:c r="K202" s="87"/>
      <x:c r="L202" s="87"/>
      <x:c r="M202" s="117"/>
      <x:c r="N202" s="87"/>
      <x:c r="O202" s="88"/>
    </x:row>
    <x:row r="203">
      <x:c r="A203" s="86"/>
      <x:c r="B203" s="87"/>
      <x:c r="C203" s="87"/>
      <x:c r="D203" s="111"/>
      <x:c r="E203" s="123"/>
      <x:c r="F203" s="123"/>
      <x:c r="G203" s="123"/>
      <x:c r="H203" s="123"/>
      <x:c r="I203" s="129"/>
      <x:c r="J203" s="123"/>
      <x:c r="K203" s="87"/>
      <x:c r="L203" s="87"/>
      <x:c r="M203" s="117"/>
      <x:c r="N203" s="87"/>
      <x:c r="O203" s="88"/>
    </x:row>
    <x:row r="204">
      <x:c r="A204" s="86"/>
      <x:c r="B204" s="87"/>
      <x:c r="C204" s="87"/>
      <x:c r="D204" s="111"/>
      <x:c r="E204" s="123"/>
      <x:c r="F204" s="123"/>
      <x:c r="G204" s="123"/>
      <x:c r="H204" s="123"/>
      <x:c r="I204" s="129"/>
      <x:c r="J204" s="123"/>
      <x:c r="K204" s="87"/>
      <x:c r="L204" s="87"/>
      <x:c r="M204" s="117"/>
      <x:c r="N204" s="87"/>
      <x:c r="O204" s="88"/>
    </x:row>
    <x:row r="205">
      <x:c r="A205" s="86"/>
      <x:c r="B205" s="87"/>
      <x:c r="C205" s="87"/>
      <x:c r="D205" s="111"/>
      <x:c r="E205" s="123"/>
      <x:c r="F205" s="123"/>
      <x:c r="G205" s="123"/>
      <x:c r="H205" s="123"/>
      <x:c r="I205" s="129"/>
      <x:c r="J205" s="123"/>
      <x:c r="K205" s="87"/>
      <x:c r="L205" s="87"/>
      <x:c r="M205" s="117"/>
      <x:c r="N205" s="87"/>
      <x:c r="O205" s="88"/>
    </x:row>
    <x:row r="206">
      <x:c r="A206" s="86"/>
      <x:c r="B206" s="87"/>
      <x:c r="C206" s="87"/>
      <x:c r="D206" s="111"/>
      <x:c r="E206" s="123"/>
      <x:c r="F206" s="123"/>
      <x:c r="G206" s="123"/>
      <x:c r="H206" s="123"/>
      <x:c r="I206" s="129"/>
      <x:c r="J206" s="123"/>
      <x:c r="K206" s="87"/>
      <x:c r="L206" s="87"/>
      <x:c r="M206" s="117"/>
      <x:c r="N206" s="87"/>
      <x:c r="O206" s="88"/>
    </x:row>
    <x:row r="207">
      <x:c r="A207" s="86"/>
      <x:c r="B207" s="87"/>
      <x:c r="C207" s="87"/>
      <x:c r="D207" s="111"/>
      <x:c r="E207" s="123"/>
      <x:c r="F207" s="123"/>
      <x:c r="G207" s="123"/>
      <x:c r="H207" s="123"/>
      <x:c r="I207" s="129"/>
      <x:c r="J207" s="123"/>
      <x:c r="K207" s="87"/>
      <x:c r="L207" s="87"/>
      <x:c r="M207" s="117"/>
      <x:c r="N207" s="87"/>
      <x:c r="O207" s="88"/>
    </x:row>
    <x:row r="208">
      <x:c r="A208" s="86"/>
      <x:c r="B208" s="87"/>
      <x:c r="C208" s="87"/>
      <x:c r="D208" s="111"/>
      <x:c r="E208" s="123"/>
      <x:c r="F208" s="123"/>
      <x:c r="G208" s="123"/>
      <x:c r="H208" s="123"/>
      <x:c r="I208" s="129"/>
      <x:c r="J208" s="123"/>
      <x:c r="K208" s="87"/>
      <x:c r="L208" s="87"/>
      <x:c r="M208" s="117"/>
      <x:c r="N208" s="87"/>
      <x:c r="O208" s="88"/>
    </x:row>
    <x:row r="209">
      <x:c r="A209" s="86"/>
      <x:c r="B209" s="87"/>
      <x:c r="C209" s="87"/>
      <x:c r="D209" s="111"/>
      <x:c r="E209" s="123"/>
      <x:c r="F209" s="123"/>
      <x:c r="G209" s="123"/>
      <x:c r="H209" s="123"/>
      <x:c r="I209" s="129"/>
      <x:c r="J209" s="123"/>
      <x:c r="K209" s="87"/>
      <x:c r="L209" s="87"/>
      <x:c r="M209" s="117"/>
      <x:c r="N209" s="87"/>
      <x:c r="O209" s="88"/>
    </x:row>
    <x:row r="210">
      <x:c r="A210" s="86"/>
      <x:c r="B210" s="87"/>
      <x:c r="C210" s="87"/>
      <x:c r="D210" s="111"/>
      <x:c r="E210" s="123"/>
      <x:c r="F210" s="123"/>
      <x:c r="G210" s="123"/>
      <x:c r="H210" s="123"/>
      <x:c r="I210" s="129"/>
      <x:c r="J210" s="123"/>
      <x:c r="K210" s="87"/>
      <x:c r="L210" s="87"/>
      <x:c r="M210" s="117"/>
      <x:c r="N210" s="87"/>
      <x:c r="O210" s="88"/>
    </x:row>
    <x:row r="211">
      <x:c r="A211" s="86"/>
      <x:c r="B211" s="87"/>
      <x:c r="C211" s="87"/>
      <x:c r="D211" s="111"/>
      <x:c r="E211" s="123"/>
      <x:c r="F211" s="123"/>
      <x:c r="G211" s="123"/>
      <x:c r="H211" s="123"/>
      <x:c r="I211" s="129"/>
      <x:c r="J211" s="123"/>
      <x:c r="K211" s="87"/>
      <x:c r="L211" s="87"/>
      <x:c r="M211" s="117"/>
      <x:c r="N211" s="87"/>
      <x:c r="O211" s="88"/>
    </x:row>
    <x:row r="212">
      <x:c r="A212" s="86"/>
      <x:c r="B212" s="87"/>
      <x:c r="C212" s="87"/>
      <x:c r="D212" s="111"/>
      <x:c r="E212" s="123"/>
      <x:c r="F212" s="123"/>
      <x:c r="G212" s="123"/>
      <x:c r="H212" s="123"/>
      <x:c r="I212" s="129"/>
      <x:c r="J212" s="123"/>
      <x:c r="K212" s="87"/>
      <x:c r="L212" s="87"/>
      <x:c r="M212" s="117"/>
      <x:c r="N212" s="87"/>
      <x:c r="O212" s="88"/>
    </x:row>
    <x:row r="213">
      <x:c r="A213" s="86"/>
      <x:c r="B213" s="87"/>
      <x:c r="C213" s="87"/>
      <x:c r="D213" s="111"/>
      <x:c r="E213" s="123"/>
      <x:c r="F213" s="123"/>
      <x:c r="G213" s="123"/>
      <x:c r="H213" s="123"/>
      <x:c r="I213" s="129"/>
      <x:c r="J213" s="123"/>
      <x:c r="K213" s="87"/>
      <x:c r="L213" s="87"/>
      <x:c r="M213" s="117"/>
      <x:c r="N213" s="87"/>
      <x:c r="O213" s="88"/>
    </x:row>
    <x:row r="214">
      <x:c r="A214" s="86"/>
      <x:c r="B214" s="87"/>
      <x:c r="C214" s="87"/>
      <x:c r="D214" s="111"/>
      <x:c r="E214" s="123"/>
      <x:c r="F214" s="123"/>
      <x:c r="G214" s="123"/>
      <x:c r="H214" s="123"/>
      <x:c r="I214" s="129"/>
      <x:c r="J214" s="123"/>
      <x:c r="K214" s="87"/>
      <x:c r="L214" s="87"/>
      <x:c r="M214" s="117"/>
      <x:c r="N214" s="87"/>
      <x:c r="O214" s="88"/>
    </x:row>
    <x:row r="215">
      <x:c r="A215" s="86"/>
      <x:c r="B215" s="87"/>
      <x:c r="C215" s="87"/>
      <x:c r="D215" s="111"/>
      <x:c r="E215" s="123"/>
      <x:c r="F215" s="123"/>
      <x:c r="G215" s="123"/>
      <x:c r="H215" s="123"/>
      <x:c r="I215" s="129"/>
      <x:c r="J215" s="123"/>
      <x:c r="K215" s="87"/>
      <x:c r="L215" s="87"/>
      <x:c r="M215" s="117"/>
      <x:c r="N215" s="87"/>
      <x:c r="O215" s="88"/>
    </x:row>
    <x:row r="216">
      <x:c r="A216" s="86"/>
      <x:c r="B216" s="87"/>
      <x:c r="C216" s="87"/>
      <x:c r="D216" s="111"/>
      <x:c r="E216" s="123"/>
      <x:c r="F216" s="123"/>
      <x:c r="G216" s="123"/>
      <x:c r="H216" s="123"/>
      <x:c r="I216" s="129"/>
      <x:c r="J216" s="123"/>
      <x:c r="K216" s="87"/>
      <x:c r="L216" s="87"/>
      <x:c r="M216" s="117"/>
      <x:c r="N216" s="87"/>
      <x:c r="O216" s="88"/>
    </x:row>
    <x:row r="217">
      <x:c r="A217" s="86"/>
      <x:c r="B217" s="87"/>
      <x:c r="C217" s="87"/>
      <x:c r="D217" s="111"/>
      <x:c r="E217" s="123"/>
      <x:c r="F217" s="123"/>
      <x:c r="G217" s="123"/>
      <x:c r="H217" s="123"/>
      <x:c r="I217" s="129"/>
      <x:c r="J217" s="123"/>
      <x:c r="K217" s="87"/>
      <x:c r="L217" s="87"/>
      <x:c r="M217" s="117"/>
      <x:c r="N217" s="87"/>
      <x:c r="O217" s="88"/>
    </x:row>
    <x:row r="218">
      <x:c r="A218" s="86"/>
      <x:c r="B218" s="87"/>
      <x:c r="C218" s="87"/>
      <x:c r="D218" s="111"/>
      <x:c r="E218" s="123"/>
      <x:c r="F218" s="123"/>
      <x:c r="G218" s="123"/>
      <x:c r="H218" s="123"/>
      <x:c r="I218" s="129"/>
      <x:c r="J218" s="123"/>
      <x:c r="K218" s="87"/>
      <x:c r="L218" s="87"/>
      <x:c r="M218" s="117"/>
      <x:c r="N218" s="87"/>
      <x:c r="O218" s="88"/>
    </x:row>
    <x:row r="219">
      <x:c r="A219" s="86"/>
      <x:c r="B219" s="87"/>
      <x:c r="C219" s="87"/>
      <x:c r="D219" s="111"/>
      <x:c r="E219" s="123"/>
      <x:c r="F219" s="123"/>
      <x:c r="G219" s="123"/>
      <x:c r="H219" s="123"/>
      <x:c r="I219" s="129"/>
      <x:c r="J219" s="123"/>
      <x:c r="K219" s="87"/>
      <x:c r="L219" s="87"/>
      <x:c r="M219" s="117"/>
      <x:c r="N219" s="87"/>
      <x:c r="O219" s="88"/>
    </x:row>
    <x:row r="220">
      <x:c r="A220" s="86"/>
      <x:c r="B220" s="87"/>
      <x:c r="C220" s="87"/>
      <x:c r="D220" s="111"/>
      <x:c r="E220" s="123"/>
      <x:c r="F220" s="123"/>
      <x:c r="G220" s="123"/>
      <x:c r="H220" s="123"/>
      <x:c r="I220" s="129"/>
      <x:c r="J220" s="123"/>
      <x:c r="K220" s="87"/>
      <x:c r="L220" s="87"/>
      <x:c r="M220" s="117"/>
      <x:c r="N220" s="87"/>
      <x:c r="O220" s="88"/>
    </x:row>
    <x:row r="221">
      <x:c r="A221" s="86"/>
      <x:c r="B221" s="87"/>
      <x:c r="C221" s="87"/>
      <x:c r="D221" s="111"/>
      <x:c r="E221" s="123"/>
      <x:c r="F221" s="123"/>
      <x:c r="G221" s="123"/>
      <x:c r="H221" s="123"/>
      <x:c r="I221" s="129"/>
      <x:c r="J221" s="123"/>
      <x:c r="K221" s="87"/>
      <x:c r="L221" s="87"/>
      <x:c r="M221" s="117"/>
      <x:c r="N221" s="87"/>
      <x:c r="O221" s="88"/>
    </x:row>
    <x:row r="222">
      <x:c r="A222" s="86"/>
      <x:c r="B222" s="87"/>
      <x:c r="C222" s="87"/>
      <x:c r="D222" s="111"/>
      <x:c r="E222" s="123"/>
      <x:c r="F222" s="123"/>
      <x:c r="G222" s="123"/>
      <x:c r="H222" s="123"/>
      <x:c r="I222" s="129"/>
      <x:c r="J222" s="123"/>
      <x:c r="K222" s="87"/>
      <x:c r="L222" s="87"/>
      <x:c r="M222" s="117"/>
      <x:c r="N222" s="87"/>
      <x:c r="O222" s="88"/>
    </x:row>
    <x:row r="223">
      <x:c r="A223" s="86"/>
      <x:c r="B223" s="87"/>
      <x:c r="C223" s="87"/>
      <x:c r="D223" s="111"/>
      <x:c r="E223" s="123"/>
      <x:c r="F223" s="123"/>
      <x:c r="G223" s="123"/>
      <x:c r="H223" s="123"/>
      <x:c r="I223" s="129"/>
      <x:c r="J223" s="123"/>
      <x:c r="K223" s="87"/>
      <x:c r="L223" s="87"/>
      <x:c r="M223" s="117"/>
      <x:c r="N223" s="87"/>
      <x:c r="O223" s="88"/>
    </x:row>
    <x:row r="224">
      <x:c r="A224" s="86"/>
      <x:c r="B224" s="87"/>
      <x:c r="C224" s="87"/>
      <x:c r="D224" s="111"/>
      <x:c r="E224" s="123"/>
      <x:c r="F224" s="123"/>
      <x:c r="G224" s="123"/>
      <x:c r="H224" s="123"/>
      <x:c r="I224" s="129"/>
      <x:c r="J224" s="123"/>
      <x:c r="K224" s="87"/>
      <x:c r="L224" s="87"/>
      <x:c r="M224" s="117"/>
      <x:c r="N224" s="87"/>
      <x:c r="O224" s="88"/>
    </x:row>
    <x:row r="225">
      <x:c r="A225" s="86"/>
      <x:c r="B225" s="87"/>
      <x:c r="C225" s="87"/>
      <x:c r="D225" s="111"/>
      <x:c r="E225" s="123"/>
      <x:c r="F225" s="123"/>
      <x:c r="G225" s="123"/>
      <x:c r="H225" s="123"/>
      <x:c r="I225" s="129"/>
      <x:c r="J225" s="123"/>
      <x:c r="K225" s="87"/>
      <x:c r="L225" s="87"/>
      <x:c r="M225" s="117"/>
      <x:c r="N225" s="87"/>
      <x:c r="O225" s="88"/>
    </x:row>
    <x:row r="226">
      <x:c r="A226" s="86"/>
      <x:c r="B226" s="87"/>
      <x:c r="C226" s="87"/>
      <x:c r="D226" s="111"/>
      <x:c r="E226" s="123"/>
      <x:c r="F226" s="123"/>
      <x:c r="G226" s="123"/>
      <x:c r="H226" s="123"/>
      <x:c r="I226" s="129"/>
      <x:c r="J226" s="123"/>
      <x:c r="K226" s="87"/>
      <x:c r="L226" s="87"/>
      <x:c r="M226" s="117"/>
      <x:c r="N226" s="87"/>
      <x:c r="O226" s="88"/>
    </x:row>
    <x:row r="227">
      <x:c r="A227" s="86"/>
      <x:c r="B227" s="87"/>
      <x:c r="C227" s="87"/>
      <x:c r="D227" s="111"/>
      <x:c r="E227" s="123"/>
      <x:c r="F227" s="123"/>
      <x:c r="G227" s="123"/>
      <x:c r="H227" s="123"/>
      <x:c r="I227" s="129"/>
      <x:c r="J227" s="123"/>
      <x:c r="K227" s="87"/>
      <x:c r="L227" s="87"/>
      <x:c r="M227" s="117"/>
      <x:c r="N227" s="87"/>
      <x:c r="O227" s="88"/>
    </x:row>
    <x:row r="228">
      <x:c r="A228" s="86"/>
      <x:c r="B228" s="87"/>
      <x:c r="C228" s="87"/>
      <x:c r="D228" s="111"/>
      <x:c r="E228" s="123"/>
      <x:c r="F228" s="123"/>
      <x:c r="G228" s="123"/>
      <x:c r="H228" s="123"/>
      <x:c r="I228" s="129"/>
      <x:c r="J228" s="123"/>
      <x:c r="K228" s="87"/>
      <x:c r="L228" s="87"/>
      <x:c r="M228" s="117"/>
      <x:c r="N228" s="87"/>
      <x:c r="O228" s="88"/>
    </x:row>
    <x:row r="229">
      <x:c r="A229" s="86"/>
      <x:c r="B229" s="87"/>
      <x:c r="C229" s="87"/>
      <x:c r="D229" s="111"/>
      <x:c r="E229" s="123"/>
      <x:c r="F229" s="123"/>
      <x:c r="G229" s="123"/>
      <x:c r="H229" s="123"/>
      <x:c r="I229" s="129"/>
      <x:c r="J229" s="123"/>
      <x:c r="K229" s="87"/>
      <x:c r="L229" s="87"/>
      <x:c r="M229" s="117"/>
      <x:c r="N229" s="87"/>
      <x:c r="O229" s="88"/>
    </x:row>
    <x:row r="230">
      <x:c r="A230" s="86"/>
      <x:c r="B230" s="87"/>
      <x:c r="C230" s="87"/>
      <x:c r="D230" s="111"/>
      <x:c r="E230" s="123"/>
      <x:c r="F230" s="123"/>
      <x:c r="G230" s="123"/>
      <x:c r="H230" s="123"/>
      <x:c r="I230" s="129"/>
      <x:c r="J230" s="123"/>
      <x:c r="K230" s="87"/>
      <x:c r="L230" s="87"/>
      <x:c r="M230" s="117"/>
      <x:c r="N230" s="87"/>
      <x:c r="O230" s="88"/>
    </x:row>
    <x:row r="231">
      <x:c r="A231" s="86"/>
      <x:c r="B231" s="87"/>
      <x:c r="C231" s="87"/>
      <x:c r="D231" s="111"/>
      <x:c r="E231" s="123"/>
      <x:c r="F231" s="123"/>
      <x:c r="G231" s="123"/>
      <x:c r="H231" s="123"/>
      <x:c r="I231" s="129"/>
      <x:c r="J231" s="123"/>
      <x:c r="K231" s="87"/>
      <x:c r="L231" s="87"/>
      <x:c r="M231" s="117"/>
      <x:c r="N231" s="87"/>
      <x:c r="O231" s="88"/>
    </x:row>
    <x:row r="232">
      <x:c r="A232" s="86"/>
      <x:c r="B232" s="87"/>
      <x:c r="C232" s="87"/>
      <x:c r="D232" s="111"/>
      <x:c r="E232" s="123"/>
      <x:c r="F232" s="123"/>
      <x:c r="G232" s="123"/>
      <x:c r="H232" s="123"/>
      <x:c r="I232" s="129"/>
      <x:c r="J232" s="123"/>
      <x:c r="K232" s="87"/>
      <x:c r="L232" s="87"/>
      <x:c r="M232" s="117"/>
      <x:c r="N232" s="87"/>
      <x:c r="O232" s="88"/>
    </x:row>
    <x:row r="233">
      <x:c r="A233" s="86"/>
      <x:c r="B233" s="87"/>
      <x:c r="C233" s="87"/>
      <x:c r="D233" s="111"/>
      <x:c r="E233" s="123"/>
      <x:c r="F233" s="123"/>
      <x:c r="G233" s="123"/>
      <x:c r="H233" s="123"/>
      <x:c r="I233" s="129"/>
      <x:c r="J233" s="123"/>
      <x:c r="K233" s="87"/>
      <x:c r="L233" s="87"/>
      <x:c r="M233" s="117"/>
      <x:c r="N233" s="87"/>
      <x:c r="O233" s="88"/>
    </x:row>
    <x:row r="234">
      <x:c r="A234" s="86"/>
      <x:c r="B234" s="87"/>
      <x:c r="C234" s="87"/>
      <x:c r="D234" s="111"/>
      <x:c r="E234" s="123"/>
      <x:c r="F234" s="123"/>
      <x:c r="G234" s="123"/>
      <x:c r="H234" s="123"/>
      <x:c r="I234" s="129"/>
      <x:c r="J234" s="123"/>
      <x:c r="K234" s="87"/>
      <x:c r="L234" s="87"/>
      <x:c r="M234" s="117"/>
      <x:c r="N234" s="87"/>
      <x:c r="O234" s="88"/>
    </x:row>
    <x:row r="235">
      <x:c r="A235" s="86"/>
      <x:c r="B235" s="87"/>
      <x:c r="C235" s="87"/>
      <x:c r="D235" s="111"/>
      <x:c r="E235" s="123"/>
      <x:c r="F235" s="123"/>
      <x:c r="G235" s="123"/>
      <x:c r="H235" s="123"/>
      <x:c r="I235" s="129"/>
      <x:c r="J235" s="123"/>
      <x:c r="K235" s="87"/>
      <x:c r="L235" s="87"/>
      <x:c r="M235" s="117"/>
      <x:c r="N235" s="87"/>
      <x:c r="O235" s="88"/>
    </x:row>
    <x:row r="236">
      <x:c r="A236" s="86"/>
      <x:c r="B236" s="87"/>
      <x:c r="C236" s="87"/>
      <x:c r="D236" s="111"/>
      <x:c r="E236" s="123"/>
      <x:c r="F236" s="123"/>
      <x:c r="G236" s="123"/>
      <x:c r="H236" s="123"/>
      <x:c r="I236" s="129"/>
      <x:c r="J236" s="123"/>
      <x:c r="K236" s="87"/>
      <x:c r="L236" s="87"/>
      <x:c r="M236" s="117"/>
      <x:c r="N236" s="87"/>
      <x:c r="O236" s="88"/>
    </x:row>
    <x:row r="237">
      <x:c r="A237" s="86"/>
      <x:c r="B237" s="87"/>
      <x:c r="C237" s="87"/>
      <x:c r="D237" s="111"/>
      <x:c r="E237" s="123"/>
      <x:c r="F237" s="123"/>
      <x:c r="G237" s="123"/>
      <x:c r="H237" s="123"/>
      <x:c r="I237" s="129"/>
      <x:c r="J237" s="123"/>
      <x:c r="K237" s="87"/>
      <x:c r="L237" s="87"/>
      <x:c r="M237" s="117"/>
      <x:c r="N237" s="87"/>
      <x:c r="O237" s="88"/>
    </x:row>
    <x:row r="238">
      <x:c r="A238" s="86"/>
      <x:c r="B238" s="87"/>
      <x:c r="C238" s="87"/>
      <x:c r="D238" s="111"/>
      <x:c r="E238" s="123"/>
      <x:c r="F238" s="123"/>
      <x:c r="G238" s="123"/>
      <x:c r="H238" s="123"/>
      <x:c r="I238" s="129"/>
      <x:c r="J238" s="123"/>
      <x:c r="K238" s="87"/>
      <x:c r="L238" s="87"/>
      <x:c r="M238" s="117"/>
      <x:c r="N238" s="87"/>
      <x:c r="O238" s="88"/>
    </x:row>
    <x:row r="239">
      <x:c r="A239" s="86"/>
      <x:c r="B239" s="87"/>
      <x:c r="C239" s="87"/>
      <x:c r="D239" s="111"/>
      <x:c r="E239" s="123"/>
      <x:c r="F239" s="123"/>
      <x:c r="G239" s="123"/>
      <x:c r="H239" s="123"/>
      <x:c r="I239" s="129"/>
      <x:c r="J239" s="123"/>
      <x:c r="K239" s="87"/>
      <x:c r="L239" s="87"/>
      <x:c r="M239" s="117"/>
      <x:c r="N239" s="87"/>
      <x:c r="O239" s="88"/>
    </x:row>
    <x:row r="240">
      <x:c r="A240" s="86"/>
      <x:c r="B240" s="87"/>
      <x:c r="C240" s="87"/>
      <x:c r="D240" s="111"/>
      <x:c r="E240" s="123"/>
      <x:c r="F240" s="123"/>
      <x:c r="G240" s="123"/>
      <x:c r="H240" s="123"/>
      <x:c r="I240" s="129"/>
      <x:c r="J240" s="123"/>
      <x:c r="K240" s="87"/>
      <x:c r="L240" s="87"/>
      <x:c r="M240" s="117"/>
      <x:c r="N240" s="87"/>
      <x:c r="O240" s="88"/>
    </x:row>
    <x:row r="241">
      <x:c r="A241" s="86"/>
      <x:c r="B241" s="87"/>
      <x:c r="C241" s="87"/>
      <x:c r="D241" s="111"/>
      <x:c r="E241" s="123"/>
      <x:c r="F241" s="123"/>
      <x:c r="G241" s="123"/>
      <x:c r="H241" s="123"/>
      <x:c r="I241" s="129"/>
      <x:c r="J241" s="123"/>
      <x:c r="K241" s="87"/>
      <x:c r="L241" s="87"/>
      <x:c r="M241" s="117"/>
      <x:c r="N241" s="87"/>
      <x:c r="O241" s="88"/>
    </x:row>
    <x:row r="242">
      <x:c r="A242" s="86"/>
      <x:c r="B242" s="87"/>
      <x:c r="C242" s="87"/>
      <x:c r="D242" s="111"/>
      <x:c r="E242" s="123"/>
      <x:c r="F242" s="123"/>
      <x:c r="G242" s="123"/>
      <x:c r="H242" s="123"/>
      <x:c r="I242" s="129"/>
      <x:c r="J242" s="123"/>
      <x:c r="K242" s="87"/>
      <x:c r="L242" s="87"/>
      <x:c r="M242" s="117"/>
      <x:c r="N242" s="87"/>
      <x:c r="O242" s="88"/>
    </x:row>
    <x:row r="243">
      <x:c r="A243" s="86"/>
      <x:c r="B243" s="87"/>
      <x:c r="C243" s="87"/>
      <x:c r="D243" s="111"/>
      <x:c r="E243" s="123"/>
      <x:c r="F243" s="123"/>
      <x:c r="G243" s="123"/>
      <x:c r="H243" s="123"/>
      <x:c r="I243" s="129"/>
      <x:c r="J243" s="123"/>
      <x:c r="K243" s="87"/>
      <x:c r="L243" s="87"/>
      <x:c r="M243" s="117"/>
      <x:c r="N243" s="87"/>
      <x:c r="O243" s="88"/>
    </x:row>
    <x:row r="244">
      <x:c r="A244" s="86"/>
      <x:c r="B244" s="87"/>
      <x:c r="C244" s="87"/>
      <x:c r="D244" s="111"/>
      <x:c r="E244" s="123"/>
      <x:c r="F244" s="123"/>
      <x:c r="G244" s="123"/>
      <x:c r="H244" s="123"/>
      <x:c r="I244" s="129"/>
      <x:c r="J244" s="123"/>
      <x:c r="K244" s="87"/>
      <x:c r="L244" s="87"/>
      <x:c r="M244" s="117"/>
      <x:c r="N244" s="87"/>
      <x:c r="O244" s="88"/>
    </x:row>
    <x:row r="245">
      <x:c r="A245" s="86"/>
      <x:c r="B245" s="87"/>
      <x:c r="C245" s="87"/>
      <x:c r="D245" s="111"/>
      <x:c r="E245" s="123"/>
      <x:c r="F245" s="123"/>
      <x:c r="G245" s="123"/>
      <x:c r="H245" s="123"/>
      <x:c r="I245" s="129"/>
      <x:c r="J245" s="123"/>
      <x:c r="K245" s="87"/>
      <x:c r="L245" s="87"/>
      <x:c r="M245" s="117"/>
      <x:c r="N245" s="87"/>
      <x:c r="O245" s="88"/>
    </x:row>
    <x:row r="246">
      <x:c r="A246" s="86"/>
      <x:c r="B246" s="87"/>
      <x:c r="C246" s="87"/>
      <x:c r="D246" s="111"/>
      <x:c r="E246" s="123"/>
      <x:c r="F246" s="123"/>
      <x:c r="G246" s="123"/>
      <x:c r="H246" s="123"/>
      <x:c r="I246" s="129"/>
      <x:c r="J246" s="123"/>
      <x:c r="K246" s="87"/>
      <x:c r="L246" s="87"/>
      <x:c r="M246" s="117"/>
      <x:c r="N246" s="87"/>
      <x:c r="O246" s="88"/>
    </x:row>
    <x:row r="247">
      <x:c r="A247" s="86"/>
      <x:c r="B247" s="87"/>
      <x:c r="C247" s="87"/>
      <x:c r="D247" s="111"/>
      <x:c r="E247" s="123"/>
      <x:c r="F247" s="123"/>
      <x:c r="G247" s="123"/>
      <x:c r="H247" s="123"/>
      <x:c r="I247" s="129"/>
      <x:c r="J247" s="123"/>
      <x:c r="K247" s="87"/>
      <x:c r="L247" s="87"/>
      <x:c r="M247" s="117"/>
      <x:c r="N247" s="87"/>
      <x:c r="O247" s="88"/>
    </x:row>
    <x:row r="248">
      <x:c r="A248" s="86"/>
      <x:c r="B248" s="87"/>
      <x:c r="C248" s="87"/>
      <x:c r="D248" s="111"/>
      <x:c r="E248" s="123"/>
      <x:c r="F248" s="123"/>
      <x:c r="G248" s="123"/>
      <x:c r="H248" s="123"/>
      <x:c r="I248" s="129"/>
      <x:c r="J248" s="123"/>
      <x:c r="K248" s="87"/>
      <x:c r="L248" s="87"/>
      <x:c r="M248" s="117"/>
      <x:c r="N248" s="87"/>
      <x:c r="O248" s="88"/>
    </x:row>
    <x:row r="249">
      <x:c r="A249" s="86"/>
      <x:c r="B249" s="87"/>
      <x:c r="C249" s="87"/>
      <x:c r="D249" s="111"/>
      <x:c r="E249" s="123"/>
      <x:c r="F249" s="123"/>
      <x:c r="G249" s="123"/>
      <x:c r="H249" s="123"/>
      <x:c r="I249" s="129"/>
      <x:c r="J249" s="123"/>
      <x:c r="K249" s="87"/>
      <x:c r="L249" s="87"/>
      <x:c r="M249" s="117"/>
      <x:c r="N249" s="87"/>
      <x:c r="O249" s="88"/>
    </x:row>
    <x:row r="250">
      <x:c r="A250" s="86"/>
      <x:c r="B250" s="87"/>
      <x:c r="C250" s="87"/>
      <x:c r="D250" s="111"/>
      <x:c r="E250" s="123"/>
      <x:c r="F250" s="123"/>
      <x:c r="G250" s="123"/>
      <x:c r="H250" s="123"/>
      <x:c r="I250" s="129"/>
      <x:c r="J250" s="123"/>
      <x:c r="K250" s="87"/>
      <x:c r="L250" s="87"/>
      <x:c r="M250" s="117"/>
      <x:c r="N250" s="87"/>
      <x:c r="O250" s="88"/>
    </x:row>
    <x:row r="251">
      <x:c r="A251" s="86"/>
      <x:c r="B251" s="87"/>
      <x:c r="C251" s="87"/>
      <x:c r="D251" s="111"/>
      <x:c r="E251" s="123"/>
      <x:c r="F251" s="123"/>
      <x:c r="G251" s="123"/>
      <x:c r="H251" s="123"/>
      <x:c r="I251" s="129"/>
      <x:c r="J251" s="123"/>
      <x:c r="K251" s="87"/>
      <x:c r="L251" s="87"/>
      <x:c r="M251" s="117"/>
      <x:c r="N251" s="87"/>
      <x:c r="O251" s="88"/>
    </x:row>
    <x:row r="252">
      <x:c r="A252" s="86"/>
      <x:c r="B252" s="87"/>
      <x:c r="C252" s="87"/>
      <x:c r="D252" s="111"/>
      <x:c r="E252" s="123"/>
      <x:c r="F252" s="123"/>
      <x:c r="G252" s="123"/>
      <x:c r="H252" s="123"/>
      <x:c r="I252" s="129"/>
      <x:c r="J252" s="123"/>
      <x:c r="K252" s="87"/>
      <x:c r="L252" s="87"/>
      <x:c r="M252" s="117"/>
      <x:c r="N252" s="87"/>
      <x:c r="O252" s="88"/>
    </x:row>
    <x:row r="253">
      <x:c r="A253" s="86"/>
      <x:c r="B253" s="87"/>
      <x:c r="C253" s="87"/>
      <x:c r="D253" s="111"/>
      <x:c r="E253" s="123"/>
      <x:c r="F253" s="123"/>
      <x:c r="G253" s="123"/>
      <x:c r="H253" s="123"/>
      <x:c r="I253" s="129"/>
      <x:c r="J253" s="123"/>
      <x:c r="K253" s="87"/>
      <x:c r="L253" s="87"/>
      <x:c r="M253" s="117"/>
      <x:c r="N253" s="87"/>
      <x:c r="O253" s="88"/>
    </x:row>
    <x:row r="254">
      <x:c r="A254" s="86"/>
      <x:c r="B254" s="87"/>
      <x:c r="C254" s="87"/>
      <x:c r="D254" s="111"/>
      <x:c r="E254" s="123"/>
      <x:c r="F254" s="123"/>
      <x:c r="G254" s="123"/>
      <x:c r="H254" s="123"/>
      <x:c r="I254" s="129"/>
      <x:c r="J254" s="123"/>
      <x:c r="K254" s="87"/>
      <x:c r="L254" s="87"/>
      <x:c r="M254" s="117"/>
      <x:c r="N254" s="87"/>
      <x:c r="O254" s="88"/>
    </x:row>
    <x:row r="255">
      <x:c r="A255" s="86"/>
      <x:c r="B255" s="87"/>
      <x:c r="C255" s="87"/>
      <x:c r="D255" s="111"/>
      <x:c r="E255" s="123"/>
      <x:c r="F255" s="123"/>
      <x:c r="G255" s="123"/>
      <x:c r="H255" s="123"/>
      <x:c r="I255" s="129"/>
      <x:c r="J255" s="123"/>
      <x:c r="K255" s="87"/>
      <x:c r="L255" s="87"/>
      <x:c r="M255" s="117"/>
      <x:c r="N255" s="87"/>
      <x:c r="O255" s="88"/>
    </x:row>
    <x:row r="256">
      <x:c r="A256" s="86"/>
      <x:c r="B256" s="87"/>
      <x:c r="C256" s="87"/>
      <x:c r="D256" s="111"/>
      <x:c r="E256" s="123"/>
      <x:c r="F256" s="123"/>
      <x:c r="G256" s="123"/>
      <x:c r="H256" s="123"/>
      <x:c r="I256" s="129"/>
      <x:c r="J256" s="123"/>
      <x:c r="K256" s="87"/>
      <x:c r="L256" s="87"/>
      <x:c r="M256" s="117"/>
      <x:c r="N256" s="87"/>
      <x:c r="O256" s="88"/>
    </x:row>
    <x:row r="257">
      <x:c r="A257" s="86"/>
      <x:c r="B257" s="87"/>
      <x:c r="C257" s="87"/>
      <x:c r="D257" s="111"/>
      <x:c r="E257" s="123"/>
      <x:c r="F257" s="123"/>
      <x:c r="G257" s="123"/>
      <x:c r="H257" s="123"/>
      <x:c r="I257" s="129"/>
      <x:c r="J257" s="123"/>
      <x:c r="K257" s="87"/>
      <x:c r="L257" s="87"/>
      <x:c r="M257" s="117"/>
      <x:c r="N257" s="87"/>
      <x:c r="O257" s="88"/>
    </x:row>
    <x:row r="258">
      <x:c r="A258" s="86"/>
      <x:c r="B258" s="87"/>
      <x:c r="C258" s="87"/>
      <x:c r="D258" s="111"/>
      <x:c r="E258" s="123"/>
      <x:c r="F258" s="123"/>
      <x:c r="G258" s="123"/>
      <x:c r="H258" s="123"/>
      <x:c r="I258" s="129"/>
      <x:c r="J258" s="123"/>
      <x:c r="K258" s="87"/>
      <x:c r="L258" s="87"/>
      <x:c r="M258" s="117"/>
      <x:c r="N258" s="87"/>
      <x:c r="O258" s="88"/>
    </x:row>
    <x:row r="259">
      <x:c r="A259" s="86"/>
      <x:c r="B259" s="87"/>
      <x:c r="C259" s="87"/>
      <x:c r="D259" s="111"/>
      <x:c r="E259" s="123"/>
      <x:c r="F259" s="123"/>
      <x:c r="G259" s="123"/>
      <x:c r="H259" s="123"/>
      <x:c r="I259" s="129"/>
      <x:c r="J259" s="123"/>
      <x:c r="K259" s="87"/>
      <x:c r="L259" s="87"/>
      <x:c r="M259" s="117"/>
      <x:c r="N259" s="87"/>
      <x:c r="O259" s="88"/>
    </x:row>
    <x:row r="260">
      <x:c r="A260" s="86"/>
      <x:c r="B260" s="87"/>
      <x:c r="C260" s="87"/>
      <x:c r="D260" s="111"/>
      <x:c r="E260" s="123"/>
      <x:c r="F260" s="123"/>
      <x:c r="G260" s="123"/>
      <x:c r="H260" s="123"/>
      <x:c r="I260" s="129"/>
      <x:c r="J260" s="123"/>
      <x:c r="K260" s="87"/>
      <x:c r="L260" s="87"/>
      <x:c r="M260" s="117"/>
      <x:c r="N260" s="87"/>
      <x:c r="O260" s="88"/>
    </x:row>
    <x:row r="261">
      <x:c r="A261" s="86"/>
      <x:c r="B261" s="87"/>
      <x:c r="C261" s="87"/>
      <x:c r="D261" s="111"/>
      <x:c r="E261" s="123"/>
      <x:c r="F261" s="123"/>
      <x:c r="G261" s="123"/>
      <x:c r="H261" s="123"/>
      <x:c r="I261" s="129"/>
      <x:c r="J261" s="123"/>
      <x:c r="K261" s="87"/>
      <x:c r="L261" s="87"/>
      <x:c r="M261" s="117"/>
      <x:c r="N261" s="87"/>
      <x:c r="O261" s="88"/>
    </x:row>
    <x:row r="262">
      <x:c r="A262" s="86"/>
      <x:c r="B262" s="87"/>
      <x:c r="C262" s="87"/>
      <x:c r="D262" s="111"/>
      <x:c r="E262" s="123"/>
      <x:c r="F262" s="123"/>
      <x:c r="G262" s="123"/>
      <x:c r="H262" s="123"/>
      <x:c r="I262" s="129"/>
      <x:c r="J262" s="123"/>
      <x:c r="K262" s="87"/>
      <x:c r="L262" s="87"/>
      <x:c r="M262" s="117"/>
      <x:c r="N262" s="87"/>
      <x:c r="O262" s="88"/>
    </x:row>
    <x:row r="263">
      <x:c r="A263" s="86"/>
      <x:c r="B263" s="87"/>
      <x:c r="C263" s="87"/>
      <x:c r="D263" s="111"/>
      <x:c r="E263" s="123"/>
      <x:c r="F263" s="123"/>
      <x:c r="G263" s="123"/>
      <x:c r="H263" s="123"/>
      <x:c r="I263" s="129"/>
      <x:c r="J263" s="123"/>
      <x:c r="K263" s="87"/>
      <x:c r="L263" s="87"/>
      <x:c r="M263" s="117"/>
      <x:c r="N263" s="87"/>
      <x:c r="O263" s="88"/>
    </x:row>
    <x:row r="264">
      <x:c r="A264" s="86"/>
      <x:c r="B264" s="87"/>
      <x:c r="C264" s="87"/>
      <x:c r="D264" s="111"/>
      <x:c r="E264" s="123"/>
      <x:c r="F264" s="123"/>
      <x:c r="G264" s="123"/>
      <x:c r="H264" s="123"/>
      <x:c r="I264" s="129"/>
      <x:c r="J264" s="123"/>
      <x:c r="K264" s="87"/>
      <x:c r="L264" s="87"/>
      <x:c r="M264" s="117"/>
      <x:c r="N264" s="87"/>
      <x:c r="O264" s="88"/>
    </x:row>
    <x:row r="265">
      <x:c r="A265" s="86"/>
      <x:c r="B265" s="87"/>
      <x:c r="C265" s="87"/>
      <x:c r="D265" s="111"/>
      <x:c r="E265" s="123"/>
      <x:c r="F265" s="123"/>
      <x:c r="G265" s="123"/>
      <x:c r="H265" s="123"/>
      <x:c r="I265" s="129"/>
      <x:c r="J265" s="123"/>
      <x:c r="K265" s="87"/>
      <x:c r="L265" s="87"/>
      <x:c r="M265" s="117"/>
      <x:c r="N265" s="87"/>
      <x:c r="O265" s="88"/>
    </x:row>
    <x:row r="266">
      <x:c r="A266" s="86"/>
      <x:c r="B266" s="87"/>
      <x:c r="C266" s="87"/>
      <x:c r="D266" s="111"/>
      <x:c r="E266" s="123"/>
      <x:c r="F266" s="123"/>
      <x:c r="G266" s="123"/>
      <x:c r="H266" s="123"/>
      <x:c r="I266" s="129"/>
      <x:c r="J266" s="123"/>
      <x:c r="K266" s="87"/>
      <x:c r="L266" s="87"/>
      <x:c r="M266" s="117"/>
      <x:c r="N266" s="87"/>
      <x:c r="O266" s="88"/>
    </x:row>
    <x:row r="267">
      <x:c r="A267" s="86"/>
      <x:c r="B267" s="87"/>
      <x:c r="C267" s="87"/>
      <x:c r="D267" s="111"/>
      <x:c r="E267" s="123"/>
      <x:c r="F267" s="123"/>
      <x:c r="G267" s="123"/>
      <x:c r="H267" s="123"/>
      <x:c r="I267" s="129"/>
      <x:c r="J267" s="123"/>
      <x:c r="K267" s="87"/>
      <x:c r="L267" s="87"/>
      <x:c r="M267" s="117"/>
      <x:c r="N267" s="87"/>
      <x:c r="O267" s="88"/>
    </x:row>
    <x:row r="268">
      <x:c r="A268" s="86"/>
      <x:c r="B268" s="87"/>
      <x:c r="C268" s="87"/>
      <x:c r="D268" s="111"/>
      <x:c r="E268" s="123"/>
      <x:c r="F268" s="123"/>
      <x:c r="G268" s="123"/>
      <x:c r="H268" s="123"/>
      <x:c r="I268" s="129"/>
      <x:c r="J268" s="123"/>
      <x:c r="K268" s="87"/>
      <x:c r="L268" s="87"/>
      <x:c r="M268" s="117"/>
      <x:c r="N268" s="87"/>
      <x:c r="O268" s="88"/>
    </x:row>
    <x:row r="269">
      <x:c r="A269" s="86"/>
      <x:c r="B269" s="87"/>
      <x:c r="C269" s="87"/>
      <x:c r="D269" s="111"/>
      <x:c r="E269" s="123"/>
      <x:c r="F269" s="123"/>
      <x:c r="G269" s="123"/>
      <x:c r="H269" s="123"/>
      <x:c r="I269" s="129"/>
      <x:c r="J269" s="123"/>
      <x:c r="K269" s="87"/>
      <x:c r="L269" s="87"/>
      <x:c r="M269" s="117"/>
      <x:c r="N269" s="87"/>
      <x:c r="O269" s="88"/>
    </x:row>
    <x:row r="270">
      <x:c r="A270" s="86"/>
      <x:c r="B270" s="87"/>
      <x:c r="C270" s="87"/>
      <x:c r="D270" s="111"/>
      <x:c r="E270" s="123"/>
      <x:c r="F270" s="123"/>
      <x:c r="G270" s="123"/>
      <x:c r="H270" s="123"/>
      <x:c r="I270" s="129"/>
      <x:c r="J270" s="123"/>
      <x:c r="K270" s="87"/>
      <x:c r="L270" s="87"/>
      <x:c r="M270" s="117"/>
      <x:c r="N270" s="87"/>
      <x:c r="O270" s="88"/>
    </x:row>
    <x:row r="271">
      <x:c r="A271" s="86"/>
      <x:c r="B271" s="87"/>
      <x:c r="C271" s="87"/>
      <x:c r="D271" s="111"/>
      <x:c r="E271" s="123"/>
      <x:c r="F271" s="123"/>
      <x:c r="G271" s="123"/>
      <x:c r="H271" s="123"/>
      <x:c r="I271" s="129"/>
      <x:c r="J271" s="123"/>
      <x:c r="K271" s="87"/>
      <x:c r="L271" s="87"/>
      <x:c r="M271" s="117"/>
      <x:c r="N271" s="87"/>
      <x:c r="O271" s="88"/>
    </x:row>
    <x:row r="272">
      <x:c r="A272" s="86"/>
      <x:c r="B272" s="87"/>
      <x:c r="C272" s="87"/>
      <x:c r="D272" s="111"/>
      <x:c r="E272" s="123"/>
      <x:c r="F272" s="123"/>
      <x:c r="G272" s="123"/>
      <x:c r="H272" s="123"/>
      <x:c r="I272" s="129"/>
      <x:c r="J272" s="123"/>
      <x:c r="K272" s="87"/>
      <x:c r="L272" s="87"/>
      <x:c r="M272" s="117"/>
      <x:c r="N272" s="87"/>
      <x:c r="O272" s="88"/>
    </x:row>
    <x:row r="273">
      <x:c r="A273" s="86"/>
      <x:c r="B273" s="87"/>
      <x:c r="C273" s="87"/>
      <x:c r="D273" s="111"/>
      <x:c r="E273" s="123"/>
      <x:c r="F273" s="123"/>
      <x:c r="G273" s="123"/>
      <x:c r="H273" s="123"/>
      <x:c r="I273" s="129"/>
      <x:c r="J273" s="123"/>
      <x:c r="K273" s="87"/>
      <x:c r="L273" s="87"/>
      <x:c r="M273" s="117"/>
      <x:c r="N273" s="87"/>
      <x:c r="O273" s="88"/>
    </x:row>
    <x:row r="274">
      <x:c r="A274" s="86"/>
      <x:c r="B274" s="87"/>
      <x:c r="C274" s="87"/>
      <x:c r="D274" s="111"/>
      <x:c r="E274" s="123"/>
      <x:c r="F274" s="123"/>
      <x:c r="G274" s="123"/>
      <x:c r="H274" s="123"/>
      <x:c r="I274" s="129"/>
      <x:c r="J274" s="123"/>
      <x:c r="K274" s="87"/>
      <x:c r="L274" s="87"/>
      <x:c r="M274" s="117"/>
      <x:c r="N274" s="87"/>
      <x:c r="O274" s="88"/>
    </x:row>
    <x:row r="275">
      <x:c r="A275" s="86"/>
      <x:c r="B275" s="87"/>
      <x:c r="C275" s="87"/>
      <x:c r="D275" s="111"/>
      <x:c r="E275" s="123"/>
      <x:c r="F275" s="123"/>
      <x:c r="G275" s="123"/>
      <x:c r="H275" s="123"/>
      <x:c r="I275" s="129"/>
      <x:c r="J275" s="123"/>
      <x:c r="K275" s="87"/>
      <x:c r="L275" s="87"/>
      <x:c r="M275" s="117"/>
      <x:c r="N275" s="87"/>
      <x:c r="O275" s="88"/>
    </x:row>
    <x:row r="276">
      <x:c r="A276" s="86"/>
      <x:c r="B276" s="87"/>
      <x:c r="C276" s="87"/>
      <x:c r="D276" s="111"/>
      <x:c r="E276" s="123"/>
      <x:c r="F276" s="123"/>
      <x:c r="G276" s="123"/>
      <x:c r="H276" s="123"/>
      <x:c r="I276" s="129"/>
      <x:c r="J276" s="123"/>
      <x:c r="K276" s="87"/>
      <x:c r="L276" s="87"/>
      <x:c r="M276" s="117"/>
      <x:c r="N276" s="87"/>
      <x:c r="O276" s="88"/>
    </x:row>
    <x:row r="277">
      <x:c r="A277" s="86"/>
      <x:c r="B277" s="87"/>
      <x:c r="C277" s="87"/>
      <x:c r="D277" s="111"/>
      <x:c r="E277" s="123"/>
      <x:c r="F277" s="123"/>
      <x:c r="G277" s="123"/>
      <x:c r="H277" s="123"/>
      <x:c r="I277" s="129"/>
      <x:c r="J277" s="123"/>
      <x:c r="K277" s="87"/>
      <x:c r="L277" s="87"/>
      <x:c r="M277" s="117"/>
      <x:c r="N277" s="87"/>
      <x:c r="O277" s="88"/>
    </x:row>
    <x:row r="278">
      <x:c r="A278" s="86"/>
      <x:c r="B278" s="87"/>
      <x:c r="C278" s="87"/>
      <x:c r="D278" s="111"/>
      <x:c r="E278" s="123"/>
      <x:c r="F278" s="123"/>
      <x:c r="G278" s="123"/>
      <x:c r="H278" s="123"/>
      <x:c r="I278" s="129"/>
      <x:c r="J278" s="123"/>
      <x:c r="K278" s="87"/>
      <x:c r="L278" s="87"/>
      <x:c r="M278" s="117"/>
      <x:c r="N278" s="87"/>
      <x:c r="O278" s="88"/>
    </x:row>
    <x:row r="279">
      <x:c r="A279" s="86"/>
      <x:c r="B279" s="87"/>
      <x:c r="C279" s="87"/>
      <x:c r="D279" s="111"/>
      <x:c r="E279" s="123"/>
      <x:c r="F279" s="123"/>
      <x:c r="G279" s="123"/>
      <x:c r="H279" s="123"/>
      <x:c r="I279" s="129"/>
      <x:c r="J279" s="123"/>
      <x:c r="K279" s="87"/>
      <x:c r="L279" s="87"/>
      <x:c r="M279" s="117"/>
      <x:c r="N279" s="87"/>
      <x:c r="O279" s="88"/>
    </x:row>
    <x:row r="280">
      <x:c r="A280" s="86"/>
      <x:c r="B280" s="87"/>
      <x:c r="C280" s="87"/>
      <x:c r="D280" s="111"/>
      <x:c r="E280" s="123"/>
      <x:c r="F280" s="123"/>
      <x:c r="G280" s="123"/>
      <x:c r="H280" s="123"/>
      <x:c r="I280" s="129"/>
      <x:c r="J280" s="123"/>
      <x:c r="K280" s="87"/>
      <x:c r="L280" s="87"/>
      <x:c r="M280" s="117"/>
      <x:c r="N280" s="87"/>
      <x:c r="O280" s="88"/>
    </x:row>
    <x:row r="281">
      <x:c r="A281" s="86"/>
      <x:c r="B281" s="87"/>
      <x:c r="C281" s="87"/>
      <x:c r="D281" s="111"/>
      <x:c r="E281" s="123"/>
      <x:c r="F281" s="123"/>
      <x:c r="G281" s="123"/>
      <x:c r="H281" s="123"/>
      <x:c r="I281" s="129"/>
      <x:c r="J281" s="123"/>
      <x:c r="K281" s="87"/>
      <x:c r="L281" s="87"/>
      <x:c r="M281" s="117"/>
      <x:c r="N281" s="87"/>
      <x:c r="O281" s="88"/>
    </x:row>
    <x:row r="282">
      <x:c r="A282" s="86"/>
      <x:c r="B282" s="87"/>
      <x:c r="C282" s="87"/>
      <x:c r="D282" s="111"/>
      <x:c r="E282" s="123"/>
      <x:c r="F282" s="123"/>
      <x:c r="G282" s="123"/>
      <x:c r="H282" s="123"/>
      <x:c r="I282" s="129"/>
      <x:c r="J282" s="123"/>
      <x:c r="K282" s="87"/>
      <x:c r="L282" s="87"/>
      <x:c r="M282" s="117"/>
      <x:c r="N282" s="87"/>
      <x:c r="O282" s="88"/>
    </x:row>
    <x:row r="283">
      <x:c r="A283" s="86"/>
      <x:c r="B283" s="87"/>
      <x:c r="C283" s="87"/>
      <x:c r="D283" s="111"/>
      <x:c r="E283" s="123"/>
      <x:c r="F283" s="123"/>
      <x:c r="G283" s="123"/>
      <x:c r="H283" s="123"/>
      <x:c r="I283" s="129"/>
      <x:c r="J283" s="123"/>
      <x:c r="K283" s="87"/>
      <x:c r="L283" s="87"/>
      <x:c r="M283" s="117"/>
      <x:c r="N283" s="87"/>
      <x:c r="O283" s="88"/>
    </x:row>
    <x:row r="284">
      <x:c r="A284" s="86"/>
      <x:c r="B284" s="87"/>
      <x:c r="C284" s="87"/>
      <x:c r="D284" s="111"/>
      <x:c r="E284" s="123"/>
      <x:c r="F284" s="123"/>
      <x:c r="G284" s="123"/>
      <x:c r="H284" s="123"/>
      <x:c r="I284" s="129"/>
      <x:c r="J284" s="123"/>
      <x:c r="K284" s="87"/>
      <x:c r="L284" s="87"/>
      <x:c r="M284" s="117"/>
      <x:c r="N284" s="87"/>
      <x:c r="O284" s="88"/>
    </x:row>
    <x:row r="285">
      <x:c r="A285" s="86"/>
      <x:c r="B285" s="87"/>
      <x:c r="C285" s="87"/>
      <x:c r="D285" s="111"/>
      <x:c r="E285" s="123"/>
      <x:c r="F285" s="123"/>
      <x:c r="G285" s="123"/>
      <x:c r="H285" s="123"/>
      <x:c r="I285" s="129"/>
      <x:c r="J285" s="123"/>
      <x:c r="K285" s="87"/>
      <x:c r="L285" s="87"/>
      <x:c r="M285" s="117"/>
      <x:c r="N285" s="87"/>
      <x:c r="O285" s="88"/>
    </x:row>
    <x:row r="286">
      <x:c r="A286" s="86"/>
      <x:c r="B286" s="87"/>
      <x:c r="C286" s="87"/>
      <x:c r="D286" s="111"/>
      <x:c r="E286" s="123"/>
      <x:c r="F286" s="123"/>
      <x:c r="G286" s="123"/>
      <x:c r="H286" s="123"/>
      <x:c r="I286" s="129"/>
      <x:c r="J286" s="123"/>
      <x:c r="K286" s="87"/>
      <x:c r="L286" s="87"/>
      <x:c r="M286" s="117"/>
      <x:c r="N286" s="87"/>
      <x:c r="O286" s="88"/>
    </x:row>
    <x:row r="287">
      <x:c r="A287" s="86"/>
      <x:c r="B287" s="87"/>
      <x:c r="C287" s="87"/>
      <x:c r="D287" s="111"/>
      <x:c r="E287" s="123"/>
      <x:c r="F287" s="123"/>
      <x:c r="G287" s="123"/>
      <x:c r="H287" s="123"/>
      <x:c r="I287" s="129"/>
      <x:c r="J287" s="123"/>
      <x:c r="K287" s="87"/>
      <x:c r="L287" s="87"/>
      <x:c r="M287" s="117"/>
      <x:c r="N287" s="87"/>
      <x:c r="O287" s="88"/>
    </x:row>
    <x:row r="288">
      <x:c r="A288" s="86"/>
      <x:c r="B288" s="87"/>
      <x:c r="C288" s="87"/>
      <x:c r="D288" s="111"/>
      <x:c r="E288" s="123"/>
      <x:c r="F288" s="123"/>
      <x:c r="G288" s="123"/>
      <x:c r="H288" s="123"/>
      <x:c r="I288" s="129"/>
      <x:c r="J288" s="123"/>
      <x:c r="K288" s="87"/>
      <x:c r="L288" s="87"/>
      <x:c r="M288" s="117"/>
      <x:c r="N288" s="87"/>
      <x:c r="O288" s="88"/>
    </x:row>
    <x:row r="289">
      <x:c r="A289" s="86"/>
      <x:c r="B289" s="87"/>
      <x:c r="C289" s="87"/>
      <x:c r="D289" s="111"/>
      <x:c r="E289" s="123"/>
      <x:c r="F289" s="123"/>
      <x:c r="G289" s="123"/>
      <x:c r="H289" s="123"/>
      <x:c r="I289" s="129"/>
      <x:c r="J289" s="123"/>
      <x:c r="K289" s="87"/>
      <x:c r="L289" s="87"/>
      <x:c r="M289" s="117"/>
      <x:c r="N289" s="87"/>
      <x:c r="O289" s="88"/>
    </x:row>
    <x:row r="290">
      <x:c r="A290" s="86"/>
      <x:c r="B290" s="87"/>
      <x:c r="C290" s="87"/>
      <x:c r="D290" s="111"/>
      <x:c r="E290" s="123"/>
      <x:c r="F290" s="123"/>
      <x:c r="G290" s="123"/>
      <x:c r="H290" s="123"/>
      <x:c r="I290" s="129"/>
      <x:c r="J290" s="123"/>
      <x:c r="K290" s="87"/>
      <x:c r="L290" s="87"/>
      <x:c r="M290" s="117"/>
      <x:c r="N290" s="87"/>
      <x:c r="O290" s="88"/>
    </x:row>
    <x:row r="291">
      <x:c r="A291" s="86"/>
      <x:c r="B291" s="87"/>
      <x:c r="C291" s="87"/>
      <x:c r="D291" s="111"/>
      <x:c r="E291" s="123"/>
      <x:c r="F291" s="123"/>
      <x:c r="G291" s="123"/>
      <x:c r="H291" s="123"/>
      <x:c r="I291" s="129"/>
      <x:c r="J291" s="123"/>
      <x:c r="K291" s="87"/>
      <x:c r="L291" s="87"/>
      <x:c r="M291" s="117"/>
      <x:c r="N291" s="87"/>
      <x:c r="O291" s="88"/>
    </x:row>
    <x:row r="292">
      <x:c r="A292" s="86"/>
      <x:c r="B292" s="87"/>
      <x:c r="C292" s="87"/>
      <x:c r="D292" s="111"/>
      <x:c r="E292" s="123"/>
      <x:c r="F292" s="123"/>
      <x:c r="G292" s="123"/>
      <x:c r="H292" s="123"/>
      <x:c r="I292" s="129"/>
      <x:c r="J292" s="123"/>
      <x:c r="K292" s="87"/>
      <x:c r="L292" s="87"/>
      <x:c r="M292" s="117"/>
      <x:c r="N292" s="87"/>
      <x:c r="O292" s="88"/>
    </x:row>
    <x:row r="293">
      <x:c r="A293" s="86"/>
      <x:c r="B293" s="87"/>
      <x:c r="C293" s="87"/>
      <x:c r="D293" s="111"/>
      <x:c r="E293" s="123"/>
      <x:c r="F293" s="123"/>
      <x:c r="G293" s="123"/>
      <x:c r="H293" s="123"/>
      <x:c r="I293" s="129"/>
      <x:c r="J293" s="123"/>
      <x:c r="K293" s="87"/>
      <x:c r="L293" s="87"/>
      <x:c r="M293" s="117"/>
      <x:c r="N293" s="87"/>
      <x:c r="O293" s="88"/>
    </x:row>
    <x:row r="294">
      <x:c r="A294" s="86"/>
      <x:c r="B294" s="87"/>
      <x:c r="C294" s="87"/>
      <x:c r="D294" s="111"/>
      <x:c r="E294" s="123"/>
      <x:c r="F294" s="123"/>
      <x:c r="G294" s="123"/>
      <x:c r="H294" s="123"/>
      <x:c r="I294" s="129"/>
      <x:c r="J294" s="123"/>
      <x:c r="K294" s="87"/>
      <x:c r="L294" s="87"/>
      <x:c r="M294" s="117"/>
      <x:c r="N294" s="87"/>
      <x:c r="O294" s="88"/>
    </x:row>
    <x:row r="295">
      <x:c r="A295" s="86"/>
      <x:c r="B295" s="87"/>
      <x:c r="C295" s="87"/>
      <x:c r="D295" s="111"/>
      <x:c r="E295" s="123"/>
      <x:c r="F295" s="123"/>
      <x:c r="G295" s="123"/>
      <x:c r="H295" s="123"/>
      <x:c r="I295" s="129"/>
      <x:c r="J295" s="123"/>
      <x:c r="K295" s="87"/>
      <x:c r="L295" s="87"/>
      <x:c r="M295" s="117"/>
      <x:c r="N295" s="87"/>
      <x:c r="O295" s="88"/>
    </x:row>
    <x:row r="296">
      <x:c r="A296" s="86"/>
      <x:c r="B296" s="87"/>
      <x:c r="C296" s="87"/>
      <x:c r="D296" s="111"/>
      <x:c r="E296" s="123"/>
      <x:c r="F296" s="123"/>
      <x:c r="G296" s="123"/>
      <x:c r="H296" s="123"/>
      <x:c r="I296" s="129"/>
      <x:c r="J296" s="123"/>
      <x:c r="K296" s="87"/>
      <x:c r="L296" s="87"/>
      <x:c r="M296" s="117"/>
      <x:c r="N296" s="87"/>
      <x:c r="O296" s="88"/>
    </x:row>
    <x:row r="297">
      <x:c r="A297" s="86"/>
      <x:c r="B297" s="87"/>
      <x:c r="C297" s="87"/>
      <x:c r="D297" s="111"/>
      <x:c r="E297" s="123"/>
      <x:c r="F297" s="123"/>
      <x:c r="G297" s="123"/>
      <x:c r="H297" s="123"/>
      <x:c r="I297" s="129"/>
      <x:c r="J297" s="123"/>
      <x:c r="K297" s="87"/>
      <x:c r="L297" s="87"/>
      <x:c r="M297" s="117"/>
      <x:c r="N297" s="87"/>
      <x:c r="O297" s="88"/>
    </x:row>
    <x:row r="298">
      <x:c r="A298" s="86"/>
      <x:c r="B298" s="87"/>
      <x:c r="C298" s="87"/>
      <x:c r="D298" s="111"/>
      <x:c r="E298" s="123"/>
      <x:c r="F298" s="123"/>
      <x:c r="G298" s="123"/>
      <x:c r="H298" s="123"/>
      <x:c r="I298" s="129"/>
      <x:c r="J298" s="123"/>
      <x:c r="K298" s="87"/>
      <x:c r="L298" s="87"/>
      <x:c r="M298" s="117"/>
      <x:c r="N298" s="87"/>
      <x:c r="O298" s="88"/>
    </x:row>
    <x:row r="299">
      <x:c r="A299" s="86"/>
      <x:c r="B299" s="87"/>
      <x:c r="C299" s="87"/>
      <x:c r="D299" s="111"/>
      <x:c r="E299" s="123"/>
      <x:c r="F299" s="123"/>
      <x:c r="G299" s="123"/>
      <x:c r="H299" s="123"/>
      <x:c r="I299" s="129"/>
      <x:c r="J299" s="123"/>
      <x:c r="K299" s="87"/>
      <x:c r="L299" s="87"/>
      <x:c r="M299" s="117"/>
      <x:c r="N299" s="87"/>
      <x:c r="O299" s="88"/>
    </x:row>
    <x:row r="300">
      <x:c r="A300" s="86"/>
      <x:c r="B300" s="87"/>
      <x:c r="C300" s="87"/>
      <x:c r="D300" s="111"/>
      <x:c r="E300" s="123"/>
      <x:c r="F300" s="123"/>
      <x:c r="G300" s="123"/>
      <x:c r="H300" s="123"/>
      <x:c r="I300" s="129"/>
      <x:c r="J300" s="123"/>
      <x:c r="K300" s="87"/>
      <x:c r="L300" s="87"/>
      <x:c r="M300" s="117"/>
      <x:c r="N300" s="87"/>
      <x:c r="O300" s="88"/>
    </x:row>
    <x:row r="301">
      <x:c r="A301" s="86"/>
      <x:c r="B301" s="87"/>
      <x:c r="C301" s="87"/>
      <x:c r="D301" s="111"/>
      <x:c r="E301" s="123"/>
      <x:c r="F301" s="123"/>
      <x:c r="G301" s="123"/>
      <x:c r="H301" s="123"/>
      <x:c r="I301" s="129"/>
      <x:c r="J301" s="123"/>
      <x:c r="K301" s="87"/>
      <x:c r="L301" s="87"/>
      <x:c r="M301" s="117"/>
      <x:c r="N301" s="87"/>
      <x:c r="O301" s="88"/>
    </x:row>
    <x:row r="302">
      <x:c r="A302" s="86"/>
      <x:c r="B302" s="87"/>
      <x:c r="C302" s="87"/>
      <x:c r="D302" s="111"/>
      <x:c r="E302" s="123"/>
      <x:c r="F302" s="123"/>
      <x:c r="G302" s="123"/>
      <x:c r="H302" s="123"/>
      <x:c r="I302" s="129"/>
      <x:c r="J302" s="123"/>
      <x:c r="K302" s="87"/>
      <x:c r="L302" s="87"/>
      <x:c r="M302" s="117"/>
      <x:c r="N302" s="87"/>
      <x:c r="O302" s="88"/>
    </x:row>
    <x:row r="303">
      <x:c r="A303" s="89"/>
      <x:c r="B303" s="90"/>
      <x:c r="C303" s="90"/>
      <x:c r="D303" s="112"/>
      <x:c r="E303" s="124"/>
      <x:c r="F303" s="124"/>
      <x:c r="G303" s="124"/>
      <x:c r="H303" s="124"/>
      <x:c r="I303" s="130"/>
      <x:c r="J303" s="124"/>
      <x:c r="K303" s="90"/>
      <x:c r="L303" s="90"/>
      <x:c r="M303" s="118"/>
      <x:c r="N303" s="90"/>
      <x:c r="O303" s="91"/>
    </x:row>
  </x:sheetData>
  <x:mergeCells>
    <x:mergeCell ref="A1:O1"/>
  </x:mergeCells>
  <x:dataValidations count="2">
    <x:dataValidation type="list" sqref="C4:C303">
      <x:formula1>"Ação,FII,Índice"</x:formula1>
    </x:dataValidation>
    <x:dataValidation type="list" sqref="N4:N303">
      <x:formula1>"Sim,Não"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20" hidden="0" customWidth="1"/>
    <x:col min="5" max="5" width="14" hidden="0" customWidth="1"/>
    <x:col min="6" max="6" width="15" hidden="0" customWidth="1"/>
    <x:col min="7" max="7" width="22" hidden="0" customWidth="1"/>
    <x:col min="8" max="8" width="20" hidden="0" customWidth="1"/>
    <x:col min="9" max="9" width="24" hidden="0" customWidth="1"/>
    <x:col min="10" max="10" width="44" hidden="0" customWidth="1"/>
    <x:col min="11" max="11" width="20" hidden="0" customWidth="1"/>
    <x:col min="12" max="12" width="12" hidden="0" customWidth="1"/>
    <x:col min="13" max="13" width="26" hidden="0" customWidth="1"/>
    <x:col min="14" max="14" width="34" hidden="0" customWidth="1"/>
  </x:cols>
  <x:sheetData>
    <x:row r="1" ht="28" customHeight="1">
      <x:c r="A1" s="5" t="str">
        <x:v>Dados Periódicos de FIIs — CVM</x:v>
      </x:c>
    </x:row>
    <x:row r="3" ht="28" customHeight="1">
      <x:c r="A3" s="58" t="str">
        <x:v>Snapshot_ID</x:v>
      </x:c>
      <x:c r="B3" s="59" t="str">
        <x:v>Ticker</x:v>
      </x:c>
      <x:c r="C3" s="59" t="str">
        <x:v>Data_Referência</x:v>
      </x:c>
      <x:c r="D3" s="59" t="str">
        <x:v>Patrimônio_Líquido</x:v>
      </x:c>
      <x:c r="E3" s="59" t="str">
        <x:v>Nº_Cotistas</x:v>
      </x:c>
      <x:c r="F3" s="59" t="str">
        <x:v>Qtd_Cotas</x:v>
      </x:c>
      <x:c r="G3" s="59" t="str">
        <x:v>Valor_Patrimonial_Cota</x:v>
      </x:c>
      <x:c r="H3" s="59" t="str">
        <x:v>Rendimento_por_Cota</x:v>
      </x:c>
      <x:c r="I3" s="59" t="str">
        <x:v>Segmento</x:v>
      </x:c>
      <x:c r="J3" s="59" t="str">
        <x:v>Fonte_URL</x:v>
      </x:c>
      <x:c r="K3" s="59" t="str">
        <x:v>Data_Coleta</x:v>
      </x:c>
      <x:c r="L3" s="59" t="str">
        <x:v>Validado</x:v>
      </x:c>
      <x:c r="M3" s="59" t="str">
        <x:v>Documento_Origem</x:v>
      </x:c>
      <x:c r="N3" s="60" t="str">
        <x:v>Observações</x:v>
      </x:c>
    </x:row>
    <x:row r="4">
      <x:c r="A4" s="83"/>
      <x:c r="B4" s="84"/>
      <x:c r="C4" s="110"/>
      <x:c r="D4" s="134"/>
      <x:c r="E4" s="128"/>
      <x:c r="F4" s="128"/>
      <x:c r="G4" s="122" t="str">
        <x:f>IF(OR(D4="",F4="",F4=0),"",D4/F4)</x:f>
      </x:c>
      <x:c r="H4" s="122"/>
      <x:c r="I4" s="84"/>
      <x:c r="J4" s="84"/>
      <x:c r="K4" s="116"/>
      <x:c r="L4" s="84"/>
      <x:c r="M4" s="84"/>
      <x:c r="N4" s="85"/>
    </x:row>
    <x:row r="5">
      <x:c r="A5" s="86"/>
      <x:c r="B5" s="87"/>
      <x:c r="C5" s="111"/>
      <x:c r="D5" s="135"/>
      <x:c r="E5" s="129"/>
      <x:c r="F5" s="129"/>
      <x:c r="G5" s="123" t="str">
        <x:f>IF(OR(D5="",F5="",F5=0),"",D5/F5)</x:f>
      </x:c>
      <x:c r="H5" s="123"/>
      <x:c r="I5" s="87"/>
      <x:c r="J5" s="87"/>
      <x:c r="K5" s="117"/>
      <x:c r="L5" s="87"/>
      <x:c r="M5" s="87"/>
      <x:c r="N5" s="88"/>
    </x:row>
    <x:row r="6">
      <x:c r="A6" s="86"/>
      <x:c r="B6" s="87"/>
      <x:c r="C6" s="111"/>
      <x:c r="D6" s="135"/>
      <x:c r="E6" s="129"/>
      <x:c r="F6" s="129"/>
      <x:c r="G6" s="123" t="str">
        <x:f>IF(OR(D6="",F6="",F6=0),"",D6/F6)</x:f>
      </x:c>
      <x:c r="H6" s="123"/>
      <x:c r="I6" s="87"/>
      <x:c r="J6" s="87"/>
      <x:c r="K6" s="117"/>
      <x:c r="L6" s="87"/>
      <x:c r="M6" s="87"/>
      <x:c r="N6" s="88"/>
    </x:row>
    <x:row r="7">
      <x:c r="A7" s="86"/>
      <x:c r="B7" s="87"/>
      <x:c r="C7" s="111"/>
      <x:c r="D7" s="135"/>
      <x:c r="E7" s="129"/>
      <x:c r="F7" s="129"/>
      <x:c r="G7" s="123" t="str">
        <x:f>IF(OR(D7="",F7="",F7=0),"",D7/F7)</x:f>
      </x:c>
      <x:c r="H7" s="123"/>
      <x:c r="I7" s="87"/>
      <x:c r="J7" s="87"/>
      <x:c r="K7" s="117"/>
      <x:c r="L7" s="87"/>
      <x:c r="M7" s="87"/>
      <x:c r="N7" s="88"/>
    </x:row>
    <x:row r="8">
      <x:c r="A8" s="86"/>
      <x:c r="B8" s="87"/>
      <x:c r="C8" s="111"/>
      <x:c r="D8" s="135"/>
      <x:c r="E8" s="129"/>
      <x:c r="F8" s="129"/>
      <x:c r="G8" s="123" t="str">
        <x:f>IF(OR(D8="",F8="",F8=0),"",D8/F8)</x:f>
      </x:c>
      <x:c r="H8" s="123"/>
      <x:c r="I8" s="87"/>
      <x:c r="J8" s="87"/>
      <x:c r="K8" s="117"/>
      <x:c r="L8" s="87"/>
      <x:c r="M8" s="87"/>
      <x:c r="N8" s="88"/>
    </x:row>
    <x:row r="9">
      <x:c r="A9" s="86"/>
      <x:c r="B9" s="87"/>
      <x:c r="C9" s="111"/>
      <x:c r="D9" s="135"/>
      <x:c r="E9" s="129"/>
      <x:c r="F9" s="129"/>
      <x:c r="G9" s="123" t="str">
        <x:f>IF(OR(D9="",F9="",F9=0),"",D9/F9)</x:f>
      </x:c>
      <x:c r="H9" s="123"/>
      <x:c r="I9" s="87"/>
      <x:c r="J9" s="87"/>
      <x:c r="K9" s="117"/>
      <x:c r="L9" s="87"/>
      <x:c r="M9" s="87"/>
      <x:c r="N9" s="88"/>
    </x:row>
    <x:row r="10">
      <x:c r="A10" s="86"/>
      <x:c r="B10" s="87"/>
      <x:c r="C10" s="111"/>
      <x:c r="D10" s="135"/>
      <x:c r="E10" s="129"/>
      <x:c r="F10" s="129"/>
      <x:c r="G10" s="123" t="str">
        <x:f>IF(OR(D10="",F10="",F10=0),"",D10/F10)</x:f>
      </x:c>
      <x:c r="H10" s="123"/>
      <x:c r="I10" s="87"/>
      <x:c r="J10" s="87"/>
      <x:c r="K10" s="117"/>
      <x:c r="L10" s="87"/>
      <x:c r="M10" s="87"/>
      <x:c r="N10" s="88"/>
    </x:row>
    <x:row r="11">
      <x:c r="A11" s="86"/>
      <x:c r="B11" s="87"/>
      <x:c r="C11" s="111"/>
      <x:c r="D11" s="135"/>
      <x:c r="E11" s="129"/>
      <x:c r="F11" s="129"/>
      <x:c r="G11" s="123" t="str">
        <x:f>IF(OR(D11="",F11="",F11=0),"",D11/F11)</x:f>
      </x:c>
      <x:c r="H11" s="123"/>
      <x:c r="I11" s="87"/>
      <x:c r="J11" s="87"/>
      <x:c r="K11" s="117"/>
      <x:c r="L11" s="87"/>
      <x:c r="M11" s="87"/>
      <x:c r="N11" s="88"/>
    </x:row>
    <x:row r="12">
      <x:c r="A12" s="86"/>
      <x:c r="B12" s="87"/>
      <x:c r="C12" s="111"/>
      <x:c r="D12" s="135"/>
      <x:c r="E12" s="129"/>
      <x:c r="F12" s="129"/>
      <x:c r="G12" s="123" t="str">
        <x:f>IF(OR(D12="",F12="",F12=0),"",D12/F12)</x:f>
      </x:c>
      <x:c r="H12" s="123"/>
      <x:c r="I12" s="87"/>
      <x:c r="J12" s="87"/>
      <x:c r="K12" s="117"/>
      <x:c r="L12" s="87"/>
      <x:c r="M12" s="87"/>
      <x:c r="N12" s="88"/>
    </x:row>
    <x:row r="13">
      <x:c r="A13" s="86"/>
      <x:c r="B13" s="87"/>
      <x:c r="C13" s="111"/>
      <x:c r="D13" s="135"/>
      <x:c r="E13" s="129"/>
      <x:c r="F13" s="129"/>
      <x:c r="G13" s="123" t="str">
        <x:f>IF(OR(D13="",F13="",F13=0),"",D13/F13)</x:f>
      </x:c>
      <x:c r="H13" s="123"/>
      <x:c r="I13" s="87"/>
      <x:c r="J13" s="87"/>
      <x:c r="K13" s="117"/>
      <x:c r="L13" s="87"/>
      <x:c r="M13" s="87"/>
      <x:c r="N13" s="88"/>
    </x:row>
    <x:row r="14">
      <x:c r="A14" s="86"/>
      <x:c r="B14" s="87"/>
      <x:c r="C14" s="111"/>
      <x:c r="D14" s="135"/>
      <x:c r="E14" s="129"/>
      <x:c r="F14" s="129"/>
      <x:c r="G14" s="123" t="str">
        <x:f>IF(OR(D14="",F14="",F14=0),"",D14/F14)</x:f>
      </x:c>
      <x:c r="H14" s="123"/>
      <x:c r="I14" s="87"/>
      <x:c r="J14" s="87"/>
      <x:c r="K14" s="117"/>
      <x:c r="L14" s="87"/>
      <x:c r="M14" s="87"/>
      <x:c r="N14" s="88"/>
    </x:row>
    <x:row r="15">
      <x:c r="A15" s="86"/>
      <x:c r="B15" s="87"/>
      <x:c r="C15" s="111"/>
      <x:c r="D15" s="135"/>
      <x:c r="E15" s="129"/>
      <x:c r="F15" s="129"/>
      <x:c r="G15" s="123" t="str">
        <x:f>IF(OR(D15="",F15="",F15=0),"",D15/F15)</x:f>
      </x:c>
      <x:c r="H15" s="123"/>
      <x:c r="I15" s="87"/>
      <x:c r="J15" s="87"/>
      <x:c r="K15" s="117"/>
      <x:c r="L15" s="87"/>
      <x:c r="M15" s="87"/>
      <x:c r="N15" s="88"/>
    </x:row>
    <x:row r="16">
      <x:c r="A16" s="86"/>
      <x:c r="B16" s="87"/>
      <x:c r="C16" s="111"/>
      <x:c r="D16" s="135"/>
      <x:c r="E16" s="129"/>
      <x:c r="F16" s="129"/>
      <x:c r="G16" s="123" t="str">
        <x:f>IF(OR(D16="",F16="",F16=0),"",D16/F16)</x:f>
      </x:c>
      <x:c r="H16" s="123"/>
      <x:c r="I16" s="87"/>
      <x:c r="J16" s="87"/>
      <x:c r="K16" s="117"/>
      <x:c r="L16" s="87"/>
      <x:c r="M16" s="87"/>
      <x:c r="N16" s="88"/>
    </x:row>
    <x:row r="17">
      <x:c r="A17" s="86"/>
      <x:c r="B17" s="87"/>
      <x:c r="C17" s="111"/>
      <x:c r="D17" s="135"/>
      <x:c r="E17" s="129"/>
      <x:c r="F17" s="129"/>
      <x:c r="G17" s="123" t="str">
        <x:f>IF(OR(D17="",F17="",F17=0),"",D17/F17)</x:f>
      </x:c>
      <x:c r="H17" s="123"/>
      <x:c r="I17" s="87"/>
      <x:c r="J17" s="87"/>
      <x:c r="K17" s="117"/>
      <x:c r="L17" s="87"/>
      <x:c r="M17" s="87"/>
      <x:c r="N17" s="88"/>
    </x:row>
    <x:row r="18">
      <x:c r="A18" s="86"/>
      <x:c r="B18" s="87"/>
      <x:c r="C18" s="111"/>
      <x:c r="D18" s="135"/>
      <x:c r="E18" s="129"/>
      <x:c r="F18" s="129"/>
      <x:c r="G18" s="123" t="str">
        <x:f>IF(OR(D18="",F18="",F18=0),"",D18/F18)</x:f>
      </x:c>
      <x:c r="H18" s="123"/>
      <x:c r="I18" s="87"/>
      <x:c r="J18" s="87"/>
      <x:c r="K18" s="117"/>
      <x:c r="L18" s="87"/>
      <x:c r="M18" s="87"/>
      <x:c r="N18" s="88"/>
    </x:row>
    <x:row r="19">
      <x:c r="A19" s="86"/>
      <x:c r="B19" s="87"/>
      <x:c r="C19" s="111"/>
      <x:c r="D19" s="135"/>
      <x:c r="E19" s="129"/>
      <x:c r="F19" s="129"/>
      <x:c r="G19" s="123" t="str">
        <x:f>IF(OR(D19="",F19="",F19=0),"",D19/F19)</x:f>
      </x:c>
      <x:c r="H19" s="123"/>
      <x:c r="I19" s="87"/>
      <x:c r="J19" s="87"/>
      <x:c r="K19" s="117"/>
      <x:c r="L19" s="87"/>
      <x:c r="M19" s="87"/>
      <x:c r="N19" s="88"/>
    </x:row>
    <x:row r="20">
      <x:c r="A20" s="86"/>
      <x:c r="B20" s="87"/>
      <x:c r="C20" s="111"/>
      <x:c r="D20" s="135"/>
      <x:c r="E20" s="129"/>
      <x:c r="F20" s="129"/>
      <x:c r="G20" s="123" t="str">
        <x:f>IF(OR(D20="",F20="",F20=0),"",D20/F20)</x:f>
      </x:c>
      <x:c r="H20" s="123"/>
      <x:c r="I20" s="87"/>
      <x:c r="J20" s="87"/>
      <x:c r="K20" s="117"/>
      <x:c r="L20" s="87"/>
      <x:c r="M20" s="87"/>
      <x:c r="N20" s="88"/>
    </x:row>
    <x:row r="21">
      <x:c r="A21" s="86"/>
      <x:c r="B21" s="87"/>
      <x:c r="C21" s="111"/>
      <x:c r="D21" s="135"/>
      <x:c r="E21" s="129"/>
      <x:c r="F21" s="129"/>
      <x:c r="G21" s="123" t="str">
        <x:f>IF(OR(D21="",F21="",F21=0),"",D21/F21)</x:f>
      </x:c>
      <x:c r="H21" s="123"/>
      <x:c r="I21" s="87"/>
      <x:c r="J21" s="87"/>
      <x:c r="K21" s="117"/>
      <x:c r="L21" s="87"/>
      <x:c r="M21" s="87"/>
      <x:c r="N21" s="88"/>
    </x:row>
    <x:row r="22">
      <x:c r="A22" s="86"/>
      <x:c r="B22" s="87"/>
      <x:c r="C22" s="111"/>
      <x:c r="D22" s="135"/>
      <x:c r="E22" s="129"/>
      <x:c r="F22" s="129"/>
      <x:c r="G22" s="123" t="str">
        <x:f>IF(OR(D22="",F22="",F22=0),"",D22/F22)</x:f>
      </x:c>
      <x:c r="H22" s="123"/>
      <x:c r="I22" s="87"/>
      <x:c r="J22" s="87"/>
      <x:c r="K22" s="117"/>
      <x:c r="L22" s="87"/>
      <x:c r="M22" s="87"/>
      <x:c r="N22" s="88"/>
    </x:row>
    <x:row r="23">
      <x:c r="A23" s="86"/>
      <x:c r="B23" s="87"/>
      <x:c r="C23" s="111"/>
      <x:c r="D23" s="135"/>
      <x:c r="E23" s="129"/>
      <x:c r="F23" s="129"/>
      <x:c r="G23" s="123" t="str">
        <x:f>IF(OR(D23="",F23="",F23=0),"",D23/F23)</x:f>
      </x:c>
      <x:c r="H23" s="123"/>
      <x:c r="I23" s="87"/>
      <x:c r="J23" s="87"/>
      <x:c r="K23" s="117"/>
      <x:c r="L23" s="87"/>
      <x:c r="M23" s="87"/>
      <x:c r="N23" s="88"/>
    </x:row>
    <x:row r="24">
      <x:c r="A24" s="86"/>
      <x:c r="B24" s="87"/>
      <x:c r="C24" s="111"/>
      <x:c r="D24" s="135"/>
      <x:c r="E24" s="129"/>
      <x:c r="F24" s="129"/>
      <x:c r="G24" s="123" t="str">
        <x:f>IF(OR(D24="",F24="",F24=0),"",D24/F24)</x:f>
      </x:c>
      <x:c r="H24" s="123"/>
      <x:c r="I24" s="87"/>
      <x:c r="J24" s="87"/>
      <x:c r="K24" s="117"/>
      <x:c r="L24" s="87"/>
      <x:c r="M24" s="87"/>
      <x:c r="N24" s="88"/>
    </x:row>
    <x:row r="25">
      <x:c r="A25" s="86"/>
      <x:c r="B25" s="87"/>
      <x:c r="C25" s="111"/>
      <x:c r="D25" s="135"/>
      <x:c r="E25" s="129"/>
      <x:c r="F25" s="129"/>
      <x:c r="G25" s="123" t="str">
        <x:f>IF(OR(D25="",F25="",F25=0),"",D25/F25)</x:f>
      </x:c>
      <x:c r="H25" s="123"/>
      <x:c r="I25" s="87"/>
      <x:c r="J25" s="87"/>
      <x:c r="K25" s="117"/>
      <x:c r="L25" s="87"/>
      <x:c r="M25" s="87"/>
      <x:c r="N25" s="88"/>
    </x:row>
    <x:row r="26">
      <x:c r="A26" s="86"/>
      <x:c r="B26" s="87"/>
      <x:c r="C26" s="111"/>
      <x:c r="D26" s="135"/>
      <x:c r="E26" s="129"/>
      <x:c r="F26" s="129"/>
      <x:c r="G26" s="123" t="str">
        <x:f>IF(OR(D26="",F26="",F26=0),"",D26/F26)</x:f>
      </x:c>
      <x:c r="H26" s="123"/>
      <x:c r="I26" s="87"/>
      <x:c r="J26" s="87"/>
      <x:c r="K26" s="117"/>
      <x:c r="L26" s="87"/>
      <x:c r="M26" s="87"/>
      <x:c r="N26" s="88"/>
    </x:row>
    <x:row r="27">
      <x:c r="A27" s="86"/>
      <x:c r="B27" s="87"/>
      <x:c r="C27" s="111"/>
      <x:c r="D27" s="135"/>
      <x:c r="E27" s="129"/>
      <x:c r="F27" s="129"/>
      <x:c r="G27" s="123" t="str">
        <x:f>IF(OR(D27="",F27="",F27=0),"",D27/F27)</x:f>
      </x:c>
      <x:c r="H27" s="123"/>
      <x:c r="I27" s="87"/>
      <x:c r="J27" s="87"/>
      <x:c r="K27" s="117"/>
      <x:c r="L27" s="87"/>
      <x:c r="M27" s="87"/>
      <x:c r="N27" s="88"/>
    </x:row>
    <x:row r="28">
      <x:c r="A28" s="86"/>
      <x:c r="B28" s="87"/>
      <x:c r="C28" s="111"/>
      <x:c r="D28" s="135"/>
      <x:c r="E28" s="129"/>
      <x:c r="F28" s="129"/>
      <x:c r="G28" s="123" t="str">
        <x:f>IF(OR(D28="",F28="",F28=0),"",D28/F28)</x:f>
      </x:c>
      <x:c r="H28" s="123"/>
      <x:c r="I28" s="87"/>
      <x:c r="J28" s="87"/>
      <x:c r="K28" s="117"/>
      <x:c r="L28" s="87"/>
      <x:c r="M28" s="87"/>
      <x:c r="N28" s="88"/>
    </x:row>
    <x:row r="29">
      <x:c r="A29" s="86"/>
      <x:c r="B29" s="87"/>
      <x:c r="C29" s="111"/>
      <x:c r="D29" s="135"/>
      <x:c r="E29" s="129"/>
      <x:c r="F29" s="129"/>
      <x:c r="G29" s="123" t="str">
        <x:f>IF(OR(D29="",F29="",F29=0),"",D29/F29)</x:f>
      </x:c>
      <x:c r="H29" s="123"/>
      <x:c r="I29" s="87"/>
      <x:c r="J29" s="87"/>
      <x:c r="K29" s="117"/>
      <x:c r="L29" s="87"/>
      <x:c r="M29" s="87"/>
      <x:c r="N29" s="88"/>
    </x:row>
    <x:row r="30">
      <x:c r="A30" s="86"/>
      <x:c r="B30" s="87"/>
      <x:c r="C30" s="111"/>
      <x:c r="D30" s="135"/>
      <x:c r="E30" s="129"/>
      <x:c r="F30" s="129"/>
      <x:c r="G30" s="123" t="str">
        <x:f>IF(OR(D30="",F30="",F30=0),"",D30/F30)</x:f>
      </x:c>
      <x:c r="H30" s="123"/>
      <x:c r="I30" s="87"/>
      <x:c r="J30" s="87"/>
      <x:c r="K30" s="117"/>
      <x:c r="L30" s="87"/>
      <x:c r="M30" s="87"/>
      <x:c r="N30" s="88"/>
    </x:row>
    <x:row r="31">
      <x:c r="A31" s="86"/>
      <x:c r="B31" s="87"/>
      <x:c r="C31" s="111"/>
      <x:c r="D31" s="135"/>
      <x:c r="E31" s="129"/>
      <x:c r="F31" s="129"/>
      <x:c r="G31" s="123" t="str">
        <x:f>IF(OR(D31="",F31="",F31=0),"",D31/F31)</x:f>
      </x:c>
      <x:c r="H31" s="123"/>
      <x:c r="I31" s="87"/>
      <x:c r="J31" s="87"/>
      <x:c r="K31" s="117"/>
      <x:c r="L31" s="87"/>
      <x:c r="M31" s="87"/>
      <x:c r="N31" s="88"/>
    </x:row>
    <x:row r="32">
      <x:c r="A32" s="86"/>
      <x:c r="B32" s="87"/>
      <x:c r="C32" s="111"/>
      <x:c r="D32" s="135"/>
      <x:c r="E32" s="129"/>
      <x:c r="F32" s="129"/>
      <x:c r="G32" s="123" t="str">
        <x:f>IF(OR(D32="",F32="",F32=0),"",D32/F32)</x:f>
      </x:c>
      <x:c r="H32" s="123"/>
      <x:c r="I32" s="87"/>
      <x:c r="J32" s="87"/>
      <x:c r="K32" s="117"/>
      <x:c r="L32" s="87"/>
      <x:c r="M32" s="87"/>
      <x:c r="N32" s="88"/>
    </x:row>
    <x:row r="33">
      <x:c r="A33" s="86"/>
      <x:c r="B33" s="87"/>
      <x:c r="C33" s="111"/>
      <x:c r="D33" s="135"/>
      <x:c r="E33" s="129"/>
      <x:c r="F33" s="129"/>
      <x:c r="G33" s="123" t="str">
        <x:f>IF(OR(D33="",F33="",F33=0),"",D33/F33)</x:f>
      </x:c>
      <x:c r="H33" s="123"/>
      <x:c r="I33" s="87"/>
      <x:c r="J33" s="87"/>
      <x:c r="K33" s="117"/>
      <x:c r="L33" s="87"/>
      <x:c r="M33" s="87"/>
      <x:c r="N33" s="88"/>
    </x:row>
    <x:row r="34">
      <x:c r="A34" s="86"/>
      <x:c r="B34" s="87"/>
      <x:c r="C34" s="111"/>
      <x:c r="D34" s="135"/>
      <x:c r="E34" s="129"/>
      <x:c r="F34" s="129"/>
      <x:c r="G34" s="123" t="str">
        <x:f>IF(OR(D34="",F34="",F34=0),"",D34/F34)</x:f>
      </x:c>
      <x:c r="H34" s="123"/>
      <x:c r="I34" s="87"/>
      <x:c r="J34" s="87"/>
      <x:c r="K34" s="117"/>
      <x:c r="L34" s="87"/>
      <x:c r="M34" s="87"/>
      <x:c r="N34" s="88"/>
    </x:row>
    <x:row r="35">
      <x:c r="A35" s="86"/>
      <x:c r="B35" s="87"/>
      <x:c r="C35" s="111"/>
      <x:c r="D35" s="135"/>
      <x:c r="E35" s="129"/>
      <x:c r="F35" s="129"/>
      <x:c r="G35" s="123" t="str">
        <x:f>IF(OR(D35="",F35="",F35=0),"",D35/F35)</x:f>
      </x:c>
      <x:c r="H35" s="123"/>
      <x:c r="I35" s="87"/>
      <x:c r="J35" s="87"/>
      <x:c r="K35" s="117"/>
      <x:c r="L35" s="87"/>
      <x:c r="M35" s="87"/>
      <x:c r="N35" s="88"/>
    </x:row>
    <x:row r="36">
      <x:c r="A36" s="86"/>
      <x:c r="B36" s="87"/>
      <x:c r="C36" s="111"/>
      <x:c r="D36" s="135"/>
      <x:c r="E36" s="129"/>
      <x:c r="F36" s="129"/>
      <x:c r="G36" s="123" t="str">
        <x:f>IF(OR(D36="",F36="",F36=0),"",D36/F36)</x:f>
      </x:c>
      <x:c r="H36" s="123"/>
      <x:c r="I36" s="87"/>
      <x:c r="J36" s="87"/>
      <x:c r="K36" s="117"/>
      <x:c r="L36" s="87"/>
      <x:c r="M36" s="87"/>
      <x:c r="N36" s="88"/>
    </x:row>
    <x:row r="37">
      <x:c r="A37" s="86"/>
      <x:c r="B37" s="87"/>
      <x:c r="C37" s="111"/>
      <x:c r="D37" s="135"/>
      <x:c r="E37" s="129"/>
      <x:c r="F37" s="129"/>
      <x:c r="G37" s="123" t="str">
        <x:f>IF(OR(D37="",F37="",F37=0),"",D37/F37)</x:f>
      </x:c>
      <x:c r="H37" s="123"/>
      <x:c r="I37" s="87"/>
      <x:c r="J37" s="87"/>
      <x:c r="K37" s="117"/>
      <x:c r="L37" s="87"/>
      <x:c r="M37" s="87"/>
      <x:c r="N37" s="88"/>
    </x:row>
    <x:row r="38">
      <x:c r="A38" s="86"/>
      <x:c r="B38" s="87"/>
      <x:c r="C38" s="111"/>
      <x:c r="D38" s="135"/>
      <x:c r="E38" s="129"/>
      <x:c r="F38" s="129"/>
      <x:c r="G38" s="123" t="str">
        <x:f>IF(OR(D38="",F38="",F38=0),"",D38/F38)</x:f>
      </x:c>
      <x:c r="H38" s="123"/>
      <x:c r="I38" s="87"/>
      <x:c r="J38" s="87"/>
      <x:c r="K38" s="117"/>
      <x:c r="L38" s="87"/>
      <x:c r="M38" s="87"/>
      <x:c r="N38" s="88"/>
    </x:row>
    <x:row r="39">
      <x:c r="A39" s="86"/>
      <x:c r="B39" s="87"/>
      <x:c r="C39" s="111"/>
      <x:c r="D39" s="135"/>
      <x:c r="E39" s="129"/>
      <x:c r="F39" s="129"/>
      <x:c r="G39" s="123" t="str">
        <x:f>IF(OR(D39="",F39="",F39=0),"",D39/F39)</x:f>
      </x:c>
      <x:c r="H39" s="123"/>
      <x:c r="I39" s="87"/>
      <x:c r="J39" s="87"/>
      <x:c r="K39" s="117"/>
      <x:c r="L39" s="87"/>
      <x:c r="M39" s="87"/>
      <x:c r="N39" s="88"/>
    </x:row>
    <x:row r="40">
      <x:c r="A40" s="86"/>
      <x:c r="B40" s="87"/>
      <x:c r="C40" s="111"/>
      <x:c r="D40" s="135"/>
      <x:c r="E40" s="129"/>
      <x:c r="F40" s="129"/>
      <x:c r="G40" s="123" t="str">
        <x:f>IF(OR(D40="",F40="",F40=0),"",D40/F40)</x:f>
      </x:c>
      <x:c r="H40" s="123"/>
      <x:c r="I40" s="87"/>
      <x:c r="J40" s="87"/>
      <x:c r="K40" s="117"/>
      <x:c r="L40" s="87"/>
      <x:c r="M40" s="87"/>
      <x:c r="N40" s="88"/>
    </x:row>
    <x:row r="41">
      <x:c r="A41" s="86"/>
      <x:c r="B41" s="87"/>
      <x:c r="C41" s="111"/>
      <x:c r="D41" s="135"/>
      <x:c r="E41" s="129"/>
      <x:c r="F41" s="129"/>
      <x:c r="G41" s="123" t="str">
        <x:f>IF(OR(D41="",F41="",F41=0),"",D41/F41)</x:f>
      </x:c>
      <x:c r="H41" s="123"/>
      <x:c r="I41" s="87"/>
      <x:c r="J41" s="87"/>
      <x:c r="K41" s="117"/>
      <x:c r="L41" s="87"/>
      <x:c r="M41" s="87"/>
      <x:c r="N41" s="88"/>
    </x:row>
    <x:row r="42">
      <x:c r="A42" s="86"/>
      <x:c r="B42" s="87"/>
      <x:c r="C42" s="111"/>
      <x:c r="D42" s="135"/>
      <x:c r="E42" s="129"/>
      <x:c r="F42" s="129"/>
      <x:c r="G42" s="123" t="str">
        <x:f>IF(OR(D42="",F42="",F42=0),"",D42/F42)</x:f>
      </x:c>
      <x:c r="H42" s="123"/>
      <x:c r="I42" s="87"/>
      <x:c r="J42" s="87"/>
      <x:c r="K42" s="117"/>
      <x:c r="L42" s="87"/>
      <x:c r="M42" s="87"/>
      <x:c r="N42" s="88"/>
    </x:row>
    <x:row r="43">
      <x:c r="A43" s="86"/>
      <x:c r="B43" s="87"/>
      <x:c r="C43" s="111"/>
      <x:c r="D43" s="135"/>
      <x:c r="E43" s="129"/>
      <x:c r="F43" s="129"/>
      <x:c r="G43" s="123" t="str">
        <x:f>IF(OR(D43="",F43="",F43=0),"",D43/F43)</x:f>
      </x:c>
      <x:c r="H43" s="123"/>
      <x:c r="I43" s="87"/>
      <x:c r="J43" s="87"/>
      <x:c r="K43" s="117"/>
      <x:c r="L43" s="87"/>
      <x:c r="M43" s="87"/>
      <x:c r="N43" s="88"/>
    </x:row>
    <x:row r="44">
      <x:c r="A44" s="86"/>
      <x:c r="B44" s="87"/>
      <x:c r="C44" s="111"/>
      <x:c r="D44" s="135"/>
      <x:c r="E44" s="129"/>
      <x:c r="F44" s="129"/>
      <x:c r="G44" s="123" t="str">
        <x:f>IF(OR(D44="",F44="",F44=0),"",D44/F44)</x:f>
      </x:c>
      <x:c r="H44" s="123"/>
      <x:c r="I44" s="87"/>
      <x:c r="J44" s="87"/>
      <x:c r="K44" s="117"/>
      <x:c r="L44" s="87"/>
      <x:c r="M44" s="87"/>
      <x:c r="N44" s="88"/>
    </x:row>
    <x:row r="45">
      <x:c r="A45" s="86"/>
      <x:c r="B45" s="87"/>
      <x:c r="C45" s="111"/>
      <x:c r="D45" s="135"/>
      <x:c r="E45" s="129"/>
      <x:c r="F45" s="129"/>
      <x:c r="G45" s="123" t="str">
        <x:f>IF(OR(D45="",F45="",F45=0),"",D45/F45)</x:f>
      </x:c>
      <x:c r="H45" s="123"/>
      <x:c r="I45" s="87"/>
      <x:c r="J45" s="87"/>
      <x:c r="K45" s="117"/>
      <x:c r="L45" s="87"/>
      <x:c r="M45" s="87"/>
      <x:c r="N45" s="88"/>
    </x:row>
    <x:row r="46">
      <x:c r="A46" s="86"/>
      <x:c r="B46" s="87"/>
      <x:c r="C46" s="111"/>
      <x:c r="D46" s="135"/>
      <x:c r="E46" s="129"/>
      <x:c r="F46" s="129"/>
      <x:c r="G46" s="123" t="str">
        <x:f>IF(OR(D46="",F46="",F46=0),"",D46/F46)</x:f>
      </x:c>
      <x:c r="H46" s="123"/>
      <x:c r="I46" s="87"/>
      <x:c r="J46" s="87"/>
      <x:c r="K46" s="117"/>
      <x:c r="L46" s="87"/>
      <x:c r="M46" s="87"/>
      <x:c r="N46" s="88"/>
    </x:row>
    <x:row r="47">
      <x:c r="A47" s="86"/>
      <x:c r="B47" s="87"/>
      <x:c r="C47" s="111"/>
      <x:c r="D47" s="135"/>
      <x:c r="E47" s="129"/>
      <x:c r="F47" s="129"/>
      <x:c r="G47" s="123" t="str">
        <x:f>IF(OR(D47="",F47="",F47=0),"",D47/F47)</x:f>
      </x:c>
      <x:c r="H47" s="123"/>
      <x:c r="I47" s="87"/>
      <x:c r="J47" s="87"/>
      <x:c r="K47" s="117"/>
      <x:c r="L47" s="87"/>
      <x:c r="M47" s="87"/>
      <x:c r="N47" s="88"/>
    </x:row>
    <x:row r="48">
      <x:c r="A48" s="86"/>
      <x:c r="B48" s="87"/>
      <x:c r="C48" s="111"/>
      <x:c r="D48" s="135"/>
      <x:c r="E48" s="129"/>
      <x:c r="F48" s="129"/>
      <x:c r="G48" s="123" t="str">
        <x:f>IF(OR(D48="",F48="",F48=0),"",D48/F48)</x:f>
      </x:c>
      <x:c r="H48" s="123"/>
      <x:c r="I48" s="87"/>
      <x:c r="J48" s="87"/>
      <x:c r="K48" s="117"/>
      <x:c r="L48" s="87"/>
      <x:c r="M48" s="87"/>
      <x:c r="N48" s="88"/>
    </x:row>
    <x:row r="49">
      <x:c r="A49" s="86"/>
      <x:c r="B49" s="87"/>
      <x:c r="C49" s="111"/>
      <x:c r="D49" s="135"/>
      <x:c r="E49" s="129"/>
      <x:c r="F49" s="129"/>
      <x:c r="G49" s="123" t="str">
        <x:f>IF(OR(D49="",F49="",F49=0),"",D49/F49)</x:f>
      </x:c>
      <x:c r="H49" s="123"/>
      <x:c r="I49" s="87"/>
      <x:c r="J49" s="87"/>
      <x:c r="K49" s="117"/>
      <x:c r="L49" s="87"/>
      <x:c r="M49" s="87"/>
      <x:c r="N49" s="88"/>
    </x:row>
    <x:row r="50">
      <x:c r="A50" s="86"/>
      <x:c r="B50" s="87"/>
      <x:c r="C50" s="111"/>
      <x:c r="D50" s="135"/>
      <x:c r="E50" s="129"/>
      <x:c r="F50" s="129"/>
      <x:c r="G50" s="123" t="str">
        <x:f>IF(OR(D50="",F50="",F50=0),"",D50/F50)</x:f>
      </x:c>
      <x:c r="H50" s="123"/>
      <x:c r="I50" s="87"/>
      <x:c r="J50" s="87"/>
      <x:c r="K50" s="117"/>
      <x:c r="L50" s="87"/>
      <x:c r="M50" s="87"/>
      <x:c r="N50" s="88"/>
    </x:row>
    <x:row r="51">
      <x:c r="A51" s="86"/>
      <x:c r="B51" s="87"/>
      <x:c r="C51" s="111"/>
      <x:c r="D51" s="135"/>
      <x:c r="E51" s="129"/>
      <x:c r="F51" s="129"/>
      <x:c r="G51" s="123" t="str">
        <x:f>IF(OR(D51="",F51="",F51=0),"",D51/F51)</x:f>
      </x:c>
      <x:c r="H51" s="123"/>
      <x:c r="I51" s="87"/>
      <x:c r="J51" s="87"/>
      <x:c r="K51" s="117"/>
      <x:c r="L51" s="87"/>
      <x:c r="M51" s="87"/>
      <x:c r="N51" s="88"/>
    </x:row>
    <x:row r="52">
      <x:c r="A52" s="86"/>
      <x:c r="B52" s="87"/>
      <x:c r="C52" s="111"/>
      <x:c r="D52" s="135"/>
      <x:c r="E52" s="129"/>
      <x:c r="F52" s="129"/>
      <x:c r="G52" s="123" t="str">
        <x:f>IF(OR(D52="",F52="",F52=0),"",D52/F52)</x:f>
      </x:c>
      <x:c r="H52" s="123"/>
      <x:c r="I52" s="87"/>
      <x:c r="J52" s="87"/>
      <x:c r="K52" s="117"/>
      <x:c r="L52" s="87"/>
      <x:c r="M52" s="87"/>
      <x:c r="N52" s="88"/>
    </x:row>
    <x:row r="53">
      <x:c r="A53" s="86"/>
      <x:c r="B53" s="87"/>
      <x:c r="C53" s="111"/>
      <x:c r="D53" s="135"/>
      <x:c r="E53" s="129"/>
      <x:c r="F53" s="129"/>
      <x:c r="G53" s="123" t="str">
        <x:f>IF(OR(D53="",F53="",F53=0),"",D53/F53)</x:f>
      </x:c>
      <x:c r="H53" s="123"/>
      <x:c r="I53" s="87"/>
      <x:c r="J53" s="87"/>
      <x:c r="K53" s="117"/>
      <x:c r="L53" s="87"/>
      <x:c r="M53" s="87"/>
      <x:c r="N53" s="88"/>
    </x:row>
    <x:row r="54">
      <x:c r="A54" s="86"/>
      <x:c r="B54" s="87"/>
      <x:c r="C54" s="111"/>
      <x:c r="D54" s="135"/>
      <x:c r="E54" s="129"/>
      <x:c r="F54" s="129"/>
      <x:c r="G54" s="123" t="str">
        <x:f>IF(OR(D54="",F54="",F54=0),"",D54/F54)</x:f>
      </x:c>
      <x:c r="H54" s="123"/>
      <x:c r="I54" s="87"/>
      <x:c r="J54" s="87"/>
      <x:c r="K54" s="117"/>
      <x:c r="L54" s="87"/>
      <x:c r="M54" s="87"/>
      <x:c r="N54" s="88"/>
    </x:row>
    <x:row r="55">
      <x:c r="A55" s="86"/>
      <x:c r="B55" s="87"/>
      <x:c r="C55" s="111"/>
      <x:c r="D55" s="135"/>
      <x:c r="E55" s="129"/>
      <x:c r="F55" s="129"/>
      <x:c r="G55" s="123" t="str">
        <x:f>IF(OR(D55="",F55="",F55=0),"",D55/F55)</x:f>
      </x:c>
      <x:c r="H55" s="123"/>
      <x:c r="I55" s="87"/>
      <x:c r="J55" s="87"/>
      <x:c r="K55" s="117"/>
      <x:c r="L55" s="87"/>
      <x:c r="M55" s="87"/>
      <x:c r="N55" s="88"/>
    </x:row>
    <x:row r="56">
      <x:c r="A56" s="86"/>
      <x:c r="B56" s="87"/>
      <x:c r="C56" s="111"/>
      <x:c r="D56" s="135"/>
      <x:c r="E56" s="129"/>
      <x:c r="F56" s="129"/>
      <x:c r="G56" s="123" t="str">
        <x:f>IF(OR(D56="",F56="",F56=0),"",D56/F56)</x:f>
      </x:c>
      <x:c r="H56" s="123"/>
      <x:c r="I56" s="87"/>
      <x:c r="J56" s="87"/>
      <x:c r="K56" s="117"/>
      <x:c r="L56" s="87"/>
      <x:c r="M56" s="87"/>
      <x:c r="N56" s="88"/>
    </x:row>
    <x:row r="57">
      <x:c r="A57" s="86"/>
      <x:c r="B57" s="87"/>
      <x:c r="C57" s="111"/>
      <x:c r="D57" s="135"/>
      <x:c r="E57" s="129"/>
      <x:c r="F57" s="129"/>
      <x:c r="G57" s="123" t="str">
        <x:f>IF(OR(D57="",F57="",F57=0),"",D57/F57)</x:f>
      </x:c>
      <x:c r="H57" s="123"/>
      <x:c r="I57" s="87"/>
      <x:c r="J57" s="87"/>
      <x:c r="K57" s="117"/>
      <x:c r="L57" s="87"/>
      <x:c r="M57" s="87"/>
      <x:c r="N57" s="88"/>
    </x:row>
    <x:row r="58">
      <x:c r="A58" s="86"/>
      <x:c r="B58" s="87"/>
      <x:c r="C58" s="111"/>
      <x:c r="D58" s="135"/>
      <x:c r="E58" s="129"/>
      <x:c r="F58" s="129"/>
      <x:c r="G58" s="123" t="str">
        <x:f>IF(OR(D58="",F58="",F58=0),"",D58/F58)</x:f>
      </x:c>
      <x:c r="H58" s="123"/>
      <x:c r="I58" s="87"/>
      <x:c r="J58" s="87"/>
      <x:c r="K58" s="117"/>
      <x:c r="L58" s="87"/>
      <x:c r="M58" s="87"/>
      <x:c r="N58" s="88"/>
    </x:row>
    <x:row r="59">
      <x:c r="A59" s="86"/>
      <x:c r="B59" s="87"/>
      <x:c r="C59" s="111"/>
      <x:c r="D59" s="135"/>
      <x:c r="E59" s="129"/>
      <x:c r="F59" s="129"/>
      <x:c r="G59" s="123" t="str">
        <x:f>IF(OR(D59="",F59="",F59=0),"",D59/F59)</x:f>
      </x:c>
      <x:c r="H59" s="123"/>
      <x:c r="I59" s="87"/>
      <x:c r="J59" s="87"/>
      <x:c r="K59" s="117"/>
      <x:c r="L59" s="87"/>
      <x:c r="M59" s="87"/>
      <x:c r="N59" s="88"/>
    </x:row>
    <x:row r="60">
      <x:c r="A60" s="86"/>
      <x:c r="B60" s="87"/>
      <x:c r="C60" s="111"/>
      <x:c r="D60" s="135"/>
      <x:c r="E60" s="129"/>
      <x:c r="F60" s="129"/>
      <x:c r="G60" s="123" t="str">
        <x:f>IF(OR(D60="",F60="",F60=0),"",D60/F60)</x:f>
      </x:c>
      <x:c r="H60" s="123"/>
      <x:c r="I60" s="87"/>
      <x:c r="J60" s="87"/>
      <x:c r="K60" s="117"/>
      <x:c r="L60" s="87"/>
      <x:c r="M60" s="87"/>
      <x:c r="N60" s="88"/>
    </x:row>
    <x:row r="61">
      <x:c r="A61" s="86"/>
      <x:c r="B61" s="87"/>
      <x:c r="C61" s="111"/>
      <x:c r="D61" s="135"/>
      <x:c r="E61" s="129"/>
      <x:c r="F61" s="129"/>
      <x:c r="G61" s="123" t="str">
        <x:f>IF(OR(D61="",F61="",F61=0),"",D61/F61)</x:f>
      </x:c>
      <x:c r="H61" s="123"/>
      <x:c r="I61" s="87"/>
      <x:c r="J61" s="87"/>
      <x:c r="K61" s="117"/>
      <x:c r="L61" s="87"/>
      <x:c r="M61" s="87"/>
      <x:c r="N61" s="88"/>
    </x:row>
    <x:row r="62">
      <x:c r="A62" s="86"/>
      <x:c r="B62" s="87"/>
      <x:c r="C62" s="111"/>
      <x:c r="D62" s="135"/>
      <x:c r="E62" s="129"/>
      <x:c r="F62" s="129"/>
      <x:c r="G62" s="123" t="str">
        <x:f>IF(OR(D62="",F62="",F62=0),"",D62/F62)</x:f>
      </x:c>
      <x:c r="H62" s="123"/>
      <x:c r="I62" s="87"/>
      <x:c r="J62" s="87"/>
      <x:c r="K62" s="117"/>
      <x:c r="L62" s="87"/>
      <x:c r="M62" s="87"/>
      <x:c r="N62" s="88"/>
    </x:row>
    <x:row r="63">
      <x:c r="A63" s="86"/>
      <x:c r="B63" s="87"/>
      <x:c r="C63" s="111"/>
      <x:c r="D63" s="135"/>
      <x:c r="E63" s="129"/>
      <x:c r="F63" s="129"/>
      <x:c r="G63" s="123" t="str">
        <x:f>IF(OR(D63="",F63="",F63=0),"",D63/F63)</x:f>
      </x:c>
      <x:c r="H63" s="123"/>
      <x:c r="I63" s="87"/>
      <x:c r="J63" s="87"/>
      <x:c r="K63" s="117"/>
      <x:c r="L63" s="87"/>
      <x:c r="M63" s="87"/>
      <x:c r="N63" s="88"/>
    </x:row>
    <x:row r="64">
      <x:c r="A64" s="86"/>
      <x:c r="B64" s="87"/>
      <x:c r="C64" s="111"/>
      <x:c r="D64" s="135"/>
      <x:c r="E64" s="129"/>
      <x:c r="F64" s="129"/>
      <x:c r="G64" s="123" t="str">
        <x:f>IF(OR(D64="",F64="",F64=0),"",D64/F64)</x:f>
      </x:c>
      <x:c r="H64" s="123"/>
      <x:c r="I64" s="87"/>
      <x:c r="J64" s="87"/>
      <x:c r="K64" s="117"/>
      <x:c r="L64" s="87"/>
      <x:c r="M64" s="87"/>
      <x:c r="N64" s="88"/>
    </x:row>
    <x:row r="65">
      <x:c r="A65" s="86"/>
      <x:c r="B65" s="87"/>
      <x:c r="C65" s="111"/>
      <x:c r="D65" s="135"/>
      <x:c r="E65" s="129"/>
      <x:c r="F65" s="129"/>
      <x:c r="G65" s="123" t="str">
        <x:f>IF(OR(D65="",F65="",F65=0),"",D65/F65)</x:f>
      </x:c>
      <x:c r="H65" s="123"/>
      <x:c r="I65" s="87"/>
      <x:c r="J65" s="87"/>
      <x:c r="K65" s="117"/>
      <x:c r="L65" s="87"/>
      <x:c r="M65" s="87"/>
      <x:c r="N65" s="88"/>
    </x:row>
    <x:row r="66">
      <x:c r="A66" s="86"/>
      <x:c r="B66" s="87"/>
      <x:c r="C66" s="111"/>
      <x:c r="D66" s="135"/>
      <x:c r="E66" s="129"/>
      <x:c r="F66" s="129"/>
      <x:c r="G66" s="123" t="str">
        <x:f>IF(OR(D66="",F66="",F66=0),"",D66/F66)</x:f>
      </x:c>
      <x:c r="H66" s="123"/>
      <x:c r="I66" s="87"/>
      <x:c r="J66" s="87"/>
      <x:c r="K66" s="117"/>
      <x:c r="L66" s="87"/>
      <x:c r="M66" s="87"/>
      <x:c r="N66" s="88"/>
    </x:row>
    <x:row r="67">
      <x:c r="A67" s="86"/>
      <x:c r="B67" s="87"/>
      <x:c r="C67" s="111"/>
      <x:c r="D67" s="135"/>
      <x:c r="E67" s="129"/>
      <x:c r="F67" s="129"/>
      <x:c r="G67" s="123" t="str">
        <x:f>IF(OR(D67="",F67="",F67=0),"",D67/F67)</x:f>
      </x:c>
      <x:c r="H67" s="123"/>
      <x:c r="I67" s="87"/>
      <x:c r="J67" s="87"/>
      <x:c r="K67" s="117"/>
      <x:c r="L67" s="87"/>
      <x:c r="M67" s="87"/>
      <x:c r="N67" s="88"/>
    </x:row>
    <x:row r="68">
      <x:c r="A68" s="86"/>
      <x:c r="B68" s="87"/>
      <x:c r="C68" s="111"/>
      <x:c r="D68" s="135"/>
      <x:c r="E68" s="129"/>
      <x:c r="F68" s="129"/>
      <x:c r="G68" s="123" t="str">
        <x:f>IF(OR(D68="",F68="",F68=0),"",D68/F68)</x:f>
      </x:c>
      <x:c r="H68" s="123"/>
      <x:c r="I68" s="87"/>
      <x:c r="J68" s="87"/>
      <x:c r="K68" s="117"/>
      <x:c r="L68" s="87"/>
      <x:c r="M68" s="87"/>
      <x:c r="N68" s="88"/>
    </x:row>
    <x:row r="69">
      <x:c r="A69" s="86"/>
      <x:c r="B69" s="87"/>
      <x:c r="C69" s="111"/>
      <x:c r="D69" s="135"/>
      <x:c r="E69" s="129"/>
      <x:c r="F69" s="129"/>
      <x:c r="G69" s="123" t="str">
        <x:f>IF(OR(D69="",F69="",F69=0),"",D69/F69)</x:f>
      </x:c>
      <x:c r="H69" s="123"/>
      <x:c r="I69" s="87"/>
      <x:c r="J69" s="87"/>
      <x:c r="K69" s="117"/>
      <x:c r="L69" s="87"/>
      <x:c r="M69" s="87"/>
      <x:c r="N69" s="88"/>
    </x:row>
    <x:row r="70">
      <x:c r="A70" s="86"/>
      <x:c r="B70" s="87"/>
      <x:c r="C70" s="111"/>
      <x:c r="D70" s="135"/>
      <x:c r="E70" s="129"/>
      <x:c r="F70" s="129"/>
      <x:c r="G70" s="123" t="str">
        <x:f>IF(OR(D70="",F70="",F70=0),"",D70/F70)</x:f>
      </x:c>
      <x:c r="H70" s="123"/>
      <x:c r="I70" s="87"/>
      <x:c r="J70" s="87"/>
      <x:c r="K70" s="117"/>
      <x:c r="L70" s="87"/>
      <x:c r="M70" s="87"/>
      <x:c r="N70" s="88"/>
    </x:row>
    <x:row r="71">
      <x:c r="A71" s="86"/>
      <x:c r="B71" s="87"/>
      <x:c r="C71" s="111"/>
      <x:c r="D71" s="135"/>
      <x:c r="E71" s="129"/>
      <x:c r="F71" s="129"/>
      <x:c r="G71" s="123" t="str">
        <x:f>IF(OR(D71="",F71="",F71=0),"",D71/F71)</x:f>
      </x:c>
      <x:c r="H71" s="123"/>
      <x:c r="I71" s="87"/>
      <x:c r="J71" s="87"/>
      <x:c r="K71" s="117"/>
      <x:c r="L71" s="87"/>
      <x:c r="M71" s="87"/>
      <x:c r="N71" s="88"/>
    </x:row>
    <x:row r="72">
      <x:c r="A72" s="86"/>
      <x:c r="B72" s="87"/>
      <x:c r="C72" s="111"/>
      <x:c r="D72" s="135"/>
      <x:c r="E72" s="129"/>
      <x:c r="F72" s="129"/>
      <x:c r="G72" s="123" t="str">
        <x:f>IF(OR(D72="",F72="",F72=0),"",D72/F72)</x:f>
      </x:c>
      <x:c r="H72" s="123"/>
      <x:c r="I72" s="87"/>
      <x:c r="J72" s="87"/>
      <x:c r="K72" s="117"/>
      <x:c r="L72" s="87"/>
      <x:c r="M72" s="87"/>
      <x:c r="N72" s="88"/>
    </x:row>
    <x:row r="73">
      <x:c r="A73" s="86"/>
      <x:c r="B73" s="87"/>
      <x:c r="C73" s="111"/>
      <x:c r="D73" s="135"/>
      <x:c r="E73" s="129"/>
      <x:c r="F73" s="129"/>
      <x:c r="G73" s="123" t="str">
        <x:f>IF(OR(D73="",F73="",F73=0),"",D73/F73)</x:f>
      </x:c>
      <x:c r="H73" s="123"/>
      <x:c r="I73" s="87"/>
      <x:c r="J73" s="87"/>
      <x:c r="K73" s="117"/>
      <x:c r="L73" s="87"/>
      <x:c r="M73" s="87"/>
      <x:c r="N73" s="88"/>
    </x:row>
    <x:row r="74">
      <x:c r="A74" s="86"/>
      <x:c r="B74" s="87"/>
      <x:c r="C74" s="111"/>
      <x:c r="D74" s="135"/>
      <x:c r="E74" s="129"/>
      <x:c r="F74" s="129"/>
      <x:c r="G74" s="123" t="str">
        <x:f>IF(OR(D74="",F74="",F74=0),"",D74/F74)</x:f>
      </x:c>
      <x:c r="H74" s="123"/>
      <x:c r="I74" s="87"/>
      <x:c r="J74" s="87"/>
      <x:c r="K74" s="117"/>
      <x:c r="L74" s="87"/>
      <x:c r="M74" s="87"/>
      <x:c r="N74" s="88"/>
    </x:row>
    <x:row r="75">
      <x:c r="A75" s="86"/>
      <x:c r="B75" s="87"/>
      <x:c r="C75" s="111"/>
      <x:c r="D75" s="135"/>
      <x:c r="E75" s="129"/>
      <x:c r="F75" s="129"/>
      <x:c r="G75" s="123" t="str">
        <x:f>IF(OR(D75="",F75="",F75=0),"",D75/F75)</x:f>
      </x:c>
      <x:c r="H75" s="123"/>
      <x:c r="I75" s="87"/>
      <x:c r="J75" s="87"/>
      <x:c r="K75" s="117"/>
      <x:c r="L75" s="87"/>
      <x:c r="M75" s="87"/>
      <x:c r="N75" s="88"/>
    </x:row>
    <x:row r="76">
      <x:c r="A76" s="86"/>
      <x:c r="B76" s="87"/>
      <x:c r="C76" s="111"/>
      <x:c r="D76" s="135"/>
      <x:c r="E76" s="129"/>
      <x:c r="F76" s="129"/>
      <x:c r="G76" s="123" t="str">
        <x:f>IF(OR(D76="",F76="",F76=0),"",D76/F76)</x:f>
      </x:c>
      <x:c r="H76" s="123"/>
      <x:c r="I76" s="87"/>
      <x:c r="J76" s="87"/>
      <x:c r="K76" s="117"/>
      <x:c r="L76" s="87"/>
      <x:c r="M76" s="87"/>
      <x:c r="N76" s="88"/>
    </x:row>
    <x:row r="77">
      <x:c r="A77" s="86"/>
      <x:c r="B77" s="87"/>
      <x:c r="C77" s="111"/>
      <x:c r="D77" s="135"/>
      <x:c r="E77" s="129"/>
      <x:c r="F77" s="129"/>
      <x:c r="G77" s="123" t="str">
        <x:f>IF(OR(D77="",F77="",F77=0),"",D77/F77)</x:f>
      </x:c>
      <x:c r="H77" s="123"/>
      <x:c r="I77" s="87"/>
      <x:c r="J77" s="87"/>
      <x:c r="K77" s="117"/>
      <x:c r="L77" s="87"/>
      <x:c r="M77" s="87"/>
      <x:c r="N77" s="88"/>
    </x:row>
    <x:row r="78">
      <x:c r="A78" s="86"/>
      <x:c r="B78" s="87"/>
      <x:c r="C78" s="111"/>
      <x:c r="D78" s="135"/>
      <x:c r="E78" s="129"/>
      <x:c r="F78" s="129"/>
      <x:c r="G78" s="123" t="str">
        <x:f>IF(OR(D78="",F78="",F78=0),"",D78/F78)</x:f>
      </x:c>
      <x:c r="H78" s="123"/>
      <x:c r="I78" s="87"/>
      <x:c r="J78" s="87"/>
      <x:c r="K78" s="117"/>
      <x:c r="L78" s="87"/>
      <x:c r="M78" s="87"/>
      <x:c r="N78" s="88"/>
    </x:row>
    <x:row r="79">
      <x:c r="A79" s="86"/>
      <x:c r="B79" s="87"/>
      <x:c r="C79" s="111"/>
      <x:c r="D79" s="135"/>
      <x:c r="E79" s="129"/>
      <x:c r="F79" s="129"/>
      <x:c r="G79" s="123" t="str">
        <x:f>IF(OR(D79="",F79="",F79=0),"",D79/F79)</x:f>
      </x:c>
      <x:c r="H79" s="123"/>
      <x:c r="I79" s="87"/>
      <x:c r="J79" s="87"/>
      <x:c r="K79" s="117"/>
      <x:c r="L79" s="87"/>
      <x:c r="M79" s="87"/>
      <x:c r="N79" s="88"/>
    </x:row>
    <x:row r="80">
      <x:c r="A80" s="86"/>
      <x:c r="B80" s="87"/>
      <x:c r="C80" s="111"/>
      <x:c r="D80" s="135"/>
      <x:c r="E80" s="129"/>
      <x:c r="F80" s="129"/>
      <x:c r="G80" s="123" t="str">
        <x:f>IF(OR(D80="",F80="",F80=0),"",D80/F80)</x:f>
      </x:c>
      <x:c r="H80" s="123"/>
      <x:c r="I80" s="87"/>
      <x:c r="J80" s="87"/>
      <x:c r="K80" s="117"/>
      <x:c r="L80" s="87"/>
      <x:c r="M80" s="87"/>
      <x:c r="N80" s="88"/>
    </x:row>
    <x:row r="81">
      <x:c r="A81" s="86"/>
      <x:c r="B81" s="87"/>
      <x:c r="C81" s="111"/>
      <x:c r="D81" s="135"/>
      <x:c r="E81" s="129"/>
      <x:c r="F81" s="129"/>
      <x:c r="G81" s="123" t="str">
        <x:f>IF(OR(D81="",F81="",F81=0),"",D81/F81)</x:f>
      </x:c>
      <x:c r="H81" s="123"/>
      <x:c r="I81" s="87"/>
      <x:c r="J81" s="87"/>
      <x:c r="K81" s="117"/>
      <x:c r="L81" s="87"/>
      <x:c r="M81" s="87"/>
      <x:c r="N81" s="88"/>
    </x:row>
    <x:row r="82">
      <x:c r="A82" s="86"/>
      <x:c r="B82" s="87"/>
      <x:c r="C82" s="111"/>
      <x:c r="D82" s="135"/>
      <x:c r="E82" s="129"/>
      <x:c r="F82" s="129"/>
      <x:c r="G82" s="123" t="str">
        <x:f>IF(OR(D82="",F82="",F82=0),"",D82/F82)</x:f>
      </x:c>
      <x:c r="H82" s="123"/>
      <x:c r="I82" s="87"/>
      <x:c r="J82" s="87"/>
      <x:c r="K82" s="117"/>
      <x:c r="L82" s="87"/>
      <x:c r="M82" s="87"/>
      <x:c r="N82" s="88"/>
    </x:row>
    <x:row r="83">
      <x:c r="A83" s="86"/>
      <x:c r="B83" s="87"/>
      <x:c r="C83" s="111"/>
      <x:c r="D83" s="135"/>
      <x:c r="E83" s="129"/>
      <x:c r="F83" s="129"/>
      <x:c r="G83" s="123" t="str">
        <x:f>IF(OR(D83="",F83="",F83=0),"",D83/F83)</x:f>
      </x:c>
      <x:c r="H83" s="123"/>
      <x:c r="I83" s="87"/>
      <x:c r="J83" s="87"/>
      <x:c r="K83" s="117"/>
      <x:c r="L83" s="87"/>
      <x:c r="M83" s="87"/>
      <x:c r="N83" s="88"/>
    </x:row>
    <x:row r="84">
      <x:c r="A84" s="86"/>
      <x:c r="B84" s="87"/>
      <x:c r="C84" s="111"/>
      <x:c r="D84" s="135"/>
      <x:c r="E84" s="129"/>
      <x:c r="F84" s="129"/>
      <x:c r="G84" s="123" t="str">
        <x:f>IF(OR(D84="",F84="",F84=0),"",D84/F84)</x:f>
      </x:c>
      <x:c r="H84" s="123"/>
      <x:c r="I84" s="87"/>
      <x:c r="J84" s="87"/>
      <x:c r="K84" s="117"/>
      <x:c r="L84" s="87"/>
      <x:c r="M84" s="87"/>
      <x:c r="N84" s="88"/>
    </x:row>
    <x:row r="85">
      <x:c r="A85" s="86"/>
      <x:c r="B85" s="87"/>
      <x:c r="C85" s="111"/>
      <x:c r="D85" s="135"/>
      <x:c r="E85" s="129"/>
      <x:c r="F85" s="129"/>
      <x:c r="G85" s="123" t="str">
        <x:f>IF(OR(D85="",F85="",F85=0),"",D85/F85)</x:f>
      </x:c>
      <x:c r="H85" s="123"/>
      <x:c r="I85" s="87"/>
      <x:c r="J85" s="87"/>
      <x:c r="K85" s="117"/>
      <x:c r="L85" s="87"/>
      <x:c r="M85" s="87"/>
      <x:c r="N85" s="88"/>
    </x:row>
    <x:row r="86">
      <x:c r="A86" s="86"/>
      <x:c r="B86" s="87"/>
      <x:c r="C86" s="111"/>
      <x:c r="D86" s="135"/>
      <x:c r="E86" s="129"/>
      <x:c r="F86" s="129"/>
      <x:c r="G86" s="123" t="str">
        <x:f>IF(OR(D86="",F86="",F86=0),"",D86/F86)</x:f>
      </x:c>
      <x:c r="H86" s="123"/>
      <x:c r="I86" s="87"/>
      <x:c r="J86" s="87"/>
      <x:c r="K86" s="117"/>
      <x:c r="L86" s="87"/>
      <x:c r="M86" s="87"/>
      <x:c r="N86" s="88"/>
    </x:row>
    <x:row r="87">
      <x:c r="A87" s="86"/>
      <x:c r="B87" s="87"/>
      <x:c r="C87" s="111"/>
      <x:c r="D87" s="135"/>
      <x:c r="E87" s="129"/>
      <x:c r="F87" s="129"/>
      <x:c r="G87" s="123" t="str">
        <x:f>IF(OR(D87="",F87="",F87=0),"",D87/F87)</x:f>
      </x:c>
      <x:c r="H87" s="123"/>
      <x:c r="I87" s="87"/>
      <x:c r="J87" s="87"/>
      <x:c r="K87" s="117"/>
      <x:c r="L87" s="87"/>
      <x:c r="M87" s="87"/>
      <x:c r="N87" s="88"/>
    </x:row>
    <x:row r="88">
      <x:c r="A88" s="86"/>
      <x:c r="B88" s="87"/>
      <x:c r="C88" s="111"/>
      <x:c r="D88" s="135"/>
      <x:c r="E88" s="129"/>
      <x:c r="F88" s="129"/>
      <x:c r="G88" s="123" t="str">
        <x:f>IF(OR(D88="",F88="",F88=0),"",D88/F88)</x:f>
      </x:c>
      <x:c r="H88" s="123"/>
      <x:c r="I88" s="87"/>
      <x:c r="J88" s="87"/>
      <x:c r="K88" s="117"/>
      <x:c r="L88" s="87"/>
      <x:c r="M88" s="87"/>
      <x:c r="N88" s="88"/>
    </x:row>
    <x:row r="89">
      <x:c r="A89" s="86"/>
      <x:c r="B89" s="87"/>
      <x:c r="C89" s="111"/>
      <x:c r="D89" s="135"/>
      <x:c r="E89" s="129"/>
      <x:c r="F89" s="129"/>
      <x:c r="G89" s="123" t="str">
        <x:f>IF(OR(D89="",F89="",F89=0),"",D89/F89)</x:f>
      </x:c>
      <x:c r="H89" s="123"/>
      <x:c r="I89" s="87"/>
      <x:c r="J89" s="87"/>
      <x:c r="K89" s="117"/>
      <x:c r="L89" s="87"/>
      <x:c r="M89" s="87"/>
      <x:c r="N89" s="88"/>
    </x:row>
    <x:row r="90">
      <x:c r="A90" s="86"/>
      <x:c r="B90" s="87"/>
      <x:c r="C90" s="111"/>
      <x:c r="D90" s="135"/>
      <x:c r="E90" s="129"/>
      <x:c r="F90" s="129"/>
      <x:c r="G90" s="123" t="str">
        <x:f>IF(OR(D90="",F90="",F90=0),"",D90/F90)</x:f>
      </x:c>
      <x:c r="H90" s="123"/>
      <x:c r="I90" s="87"/>
      <x:c r="J90" s="87"/>
      <x:c r="K90" s="117"/>
      <x:c r="L90" s="87"/>
      <x:c r="M90" s="87"/>
      <x:c r="N90" s="88"/>
    </x:row>
    <x:row r="91">
      <x:c r="A91" s="86"/>
      <x:c r="B91" s="87"/>
      <x:c r="C91" s="111"/>
      <x:c r="D91" s="135"/>
      <x:c r="E91" s="129"/>
      <x:c r="F91" s="129"/>
      <x:c r="G91" s="123" t="str">
        <x:f>IF(OR(D91="",F91="",F91=0),"",D91/F91)</x:f>
      </x:c>
      <x:c r="H91" s="123"/>
      <x:c r="I91" s="87"/>
      <x:c r="J91" s="87"/>
      <x:c r="K91" s="117"/>
      <x:c r="L91" s="87"/>
      <x:c r="M91" s="87"/>
      <x:c r="N91" s="88"/>
    </x:row>
    <x:row r="92">
      <x:c r="A92" s="86"/>
      <x:c r="B92" s="87"/>
      <x:c r="C92" s="111"/>
      <x:c r="D92" s="135"/>
      <x:c r="E92" s="129"/>
      <x:c r="F92" s="129"/>
      <x:c r="G92" s="123" t="str">
        <x:f>IF(OR(D92="",F92="",F92=0),"",D92/F92)</x:f>
      </x:c>
      <x:c r="H92" s="123"/>
      <x:c r="I92" s="87"/>
      <x:c r="J92" s="87"/>
      <x:c r="K92" s="117"/>
      <x:c r="L92" s="87"/>
      <x:c r="M92" s="87"/>
      <x:c r="N92" s="88"/>
    </x:row>
    <x:row r="93">
      <x:c r="A93" s="86"/>
      <x:c r="B93" s="87"/>
      <x:c r="C93" s="111"/>
      <x:c r="D93" s="135"/>
      <x:c r="E93" s="129"/>
      <x:c r="F93" s="129"/>
      <x:c r="G93" s="123" t="str">
        <x:f>IF(OR(D93="",F93="",F93=0),"",D93/F93)</x:f>
      </x:c>
      <x:c r="H93" s="123"/>
      <x:c r="I93" s="87"/>
      <x:c r="J93" s="87"/>
      <x:c r="K93" s="117"/>
      <x:c r="L93" s="87"/>
      <x:c r="M93" s="87"/>
      <x:c r="N93" s="88"/>
    </x:row>
    <x:row r="94">
      <x:c r="A94" s="86"/>
      <x:c r="B94" s="87"/>
      <x:c r="C94" s="111"/>
      <x:c r="D94" s="135"/>
      <x:c r="E94" s="129"/>
      <x:c r="F94" s="129"/>
      <x:c r="G94" s="123" t="str">
        <x:f>IF(OR(D94="",F94="",F94=0),"",D94/F94)</x:f>
      </x:c>
      <x:c r="H94" s="123"/>
      <x:c r="I94" s="87"/>
      <x:c r="J94" s="87"/>
      <x:c r="K94" s="117"/>
      <x:c r="L94" s="87"/>
      <x:c r="M94" s="87"/>
      <x:c r="N94" s="88"/>
    </x:row>
    <x:row r="95">
      <x:c r="A95" s="86"/>
      <x:c r="B95" s="87"/>
      <x:c r="C95" s="111"/>
      <x:c r="D95" s="135"/>
      <x:c r="E95" s="129"/>
      <x:c r="F95" s="129"/>
      <x:c r="G95" s="123" t="str">
        <x:f>IF(OR(D95="",F95="",F95=0),"",D95/F95)</x:f>
      </x:c>
      <x:c r="H95" s="123"/>
      <x:c r="I95" s="87"/>
      <x:c r="J95" s="87"/>
      <x:c r="K95" s="117"/>
      <x:c r="L95" s="87"/>
      <x:c r="M95" s="87"/>
      <x:c r="N95" s="88"/>
    </x:row>
    <x:row r="96">
      <x:c r="A96" s="86"/>
      <x:c r="B96" s="87"/>
      <x:c r="C96" s="111"/>
      <x:c r="D96" s="135"/>
      <x:c r="E96" s="129"/>
      <x:c r="F96" s="129"/>
      <x:c r="G96" s="123" t="str">
        <x:f>IF(OR(D96="",F96="",F96=0),"",D96/F96)</x:f>
      </x:c>
      <x:c r="H96" s="123"/>
      <x:c r="I96" s="87"/>
      <x:c r="J96" s="87"/>
      <x:c r="K96" s="117"/>
      <x:c r="L96" s="87"/>
      <x:c r="M96" s="87"/>
      <x:c r="N96" s="88"/>
    </x:row>
    <x:row r="97">
      <x:c r="A97" s="86"/>
      <x:c r="B97" s="87"/>
      <x:c r="C97" s="111"/>
      <x:c r="D97" s="135"/>
      <x:c r="E97" s="129"/>
      <x:c r="F97" s="129"/>
      <x:c r="G97" s="123" t="str">
        <x:f>IF(OR(D97="",F97="",F97=0),"",D97/F97)</x:f>
      </x:c>
      <x:c r="H97" s="123"/>
      <x:c r="I97" s="87"/>
      <x:c r="J97" s="87"/>
      <x:c r="K97" s="117"/>
      <x:c r="L97" s="87"/>
      <x:c r="M97" s="87"/>
      <x:c r="N97" s="88"/>
    </x:row>
    <x:row r="98">
      <x:c r="A98" s="86"/>
      <x:c r="B98" s="87"/>
      <x:c r="C98" s="111"/>
      <x:c r="D98" s="135"/>
      <x:c r="E98" s="129"/>
      <x:c r="F98" s="129"/>
      <x:c r="G98" s="123" t="str">
        <x:f>IF(OR(D98="",F98="",F98=0),"",D98/F98)</x:f>
      </x:c>
      <x:c r="H98" s="123"/>
      <x:c r="I98" s="87"/>
      <x:c r="J98" s="87"/>
      <x:c r="K98" s="117"/>
      <x:c r="L98" s="87"/>
      <x:c r="M98" s="87"/>
      <x:c r="N98" s="88"/>
    </x:row>
    <x:row r="99">
      <x:c r="A99" s="86"/>
      <x:c r="B99" s="87"/>
      <x:c r="C99" s="111"/>
      <x:c r="D99" s="135"/>
      <x:c r="E99" s="129"/>
      <x:c r="F99" s="129"/>
      <x:c r="G99" s="123" t="str">
        <x:f>IF(OR(D99="",F99="",F99=0),"",D99/F99)</x:f>
      </x:c>
      <x:c r="H99" s="123"/>
      <x:c r="I99" s="87"/>
      <x:c r="J99" s="87"/>
      <x:c r="K99" s="117"/>
      <x:c r="L99" s="87"/>
      <x:c r="M99" s="87"/>
      <x:c r="N99" s="88"/>
    </x:row>
    <x:row r="100">
      <x:c r="A100" s="86"/>
      <x:c r="B100" s="87"/>
      <x:c r="C100" s="111"/>
      <x:c r="D100" s="135"/>
      <x:c r="E100" s="129"/>
      <x:c r="F100" s="129"/>
      <x:c r="G100" s="123" t="str">
        <x:f>IF(OR(D100="",F100="",F100=0),"",D100/F100)</x:f>
      </x:c>
      <x:c r="H100" s="123"/>
      <x:c r="I100" s="87"/>
      <x:c r="J100" s="87"/>
      <x:c r="K100" s="117"/>
      <x:c r="L100" s="87"/>
      <x:c r="M100" s="87"/>
      <x:c r="N100" s="88"/>
    </x:row>
    <x:row r="101">
      <x:c r="A101" s="86"/>
      <x:c r="B101" s="87"/>
      <x:c r="C101" s="111"/>
      <x:c r="D101" s="135"/>
      <x:c r="E101" s="129"/>
      <x:c r="F101" s="129"/>
      <x:c r="G101" s="123" t="str">
        <x:f>IF(OR(D101="",F101="",F101=0),"",D101/F101)</x:f>
      </x:c>
      <x:c r="H101" s="123"/>
      <x:c r="I101" s="87"/>
      <x:c r="J101" s="87"/>
      <x:c r="K101" s="117"/>
      <x:c r="L101" s="87"/>
      <x:c r="M101" s="87"/>
      <x:c r="N101" s="88"/>
    </x:row>
    <x:row r="102">
      <x:c r="A102" s="86"/>
      <x:c r="B102" s="87"/>
      <x:c r="C102" s="111"/>
      <x:c r="D102" s="135"/>
      <x:c r="E102" s="129"/>
      <x:c r="F102" s="129"/>
      <x:c r="G102" s="123" t="str">
        <x:f>IF(OR(D102="",F102="",F102=0),"",D102/F102)</x:f>
      </x:c>
      <x:c r="H102" s="123"/>
      <x:c r="I102" s="87"/>
      <x:c r="J102" s="87"/>
      <x:c r="K102" s="117"/>
      <x:c r="L102" s="87"/>
      <x:c r="M102" s="87"/>
      <x:c r="N102" s="88"/>
    </x:row>
    <x:row r="103">
      <x:c r="A103" s="86"/>
      <x:c r="B103" s="87"/>
      <x:c r="C103" s="111"/>
      <x:c r="D103" s="135"/>
      <x:c r="E103" s="129"/>
      <x:c r="F103" s="129"/>
      <x:c r="G103" s="123" t="str">
        <x:f>IF(OR(D103="",F103="",F103=0),"",D103/F103)</x:f>
      </x:c>
      <x:c r="H103" s="123"/>
      <x:c r="I103" s="87"/>
      <x:c r="J103" s="87"/>
      <x:c r="K103" s="117"/>
      <x:c r="L103" s="87"/>
      <x:c r="M103" s="87"/>
      <x:c r="N103" s="88"/>
    </x:row>
    <x:row r="104">
      <x:c r="A104" s="86"/>
      <x:c r="B104" s="87"/>
      <x:c r="C104" s="111"/>
      <x:c r="D104" s="135"/>
      <x:c r="E104" s="129"/>
      <x:c r="F104" s="129"/>
      <x:c r="G104" s="123" t="str">
        <x:f>IF(OR(D104="",F104="",F104=0),"",D104/F104)</x:f>
      </x:c>
      <x:c r="H104" s="123"/>
      <x:c r="I104" s="87"/>
      <x:c r="J104" s="87"/>
      <x:c r="K104" s="117"/>
      <x:c r="L104" s="87"/>
      <x:c r="M104" s="87"/>
      <x:c r="N104" s="88"/>
    </x:row>
    <x:row r="105">
      <x:c r="A105" s="86"/>
      <x:c r="B105" s="87"/>
      <x:c r="C105" s="111"/>
      <x:c r="D105" s="135"/>
      <x:c r="E105" s="129"/>
      <x:c r="F105" s="129"/>
      <x:c r="G105" s="123" t="str">
        <x:f>IF(OR(D105="",F105="",F105=0),"",D105/F105)</x:f>
      </x:c>
      <x:c r="H105" s="123"/>
      <x:c r="I105" s="87"/>
      <x:c r="J105" s="87"/>
      <x:c r="K105" s="117"/>
      <x:c r="L105" s="87"/>
      <x:c r="M105" s="87"/>
      <x:c r="N105" s="88"/>
    </x:row>
    <x:row r="106">
      <x:c r="A106" s="86"/>
      <x:c r="B106" s="87"/>
      <x:c r="C106" s="111"/>
      <x:c r="D106" s="135"/>
      <x:c r="E106" s="129"/>
      <x:c r="F106" s="129"/>
      <x:c r="G106" s="123" t="str">
        <x:f>IF(OR(D106="",F106="",F106=0),"",D106/F106)</x:f>
      </x:c>
      <x:c r="H106" s="123"/>
      <x:c r="I106" s="87"/>
      <x:c r="J106" s="87"/>
      <x:c r="K106" s="117"/>
      <x:c r="L106" s="87"/>
      <x:c r="M106" s="87"/>
      <x:c r="N106" s="88"/>
    </x:row>
    <x:row r="107">
      <x:c r="A107" s="86"/>
      <x:c r="B107" s="87"/>
      <x:c r="C107" s="111"/>
      <x:c r="D107" s="135"/>
      <x:c r="E107" s="129"/>
      <x:c r="F107" s="129"/>
      <x:c r="G107" s="123" t="str">
        <x:f>IF(OR(D107="",F107="",F107=0),"",D107/F107)</x:f>
      </x:c>
      <x:c r="H107" s="123"/>
      <x:c r="I107" s="87"/>
      <x:c r="J107" s="87"/>
      <x:c r="K107" s="117"/>
      <x:c r="L107" s="87"/>
      <x:c r="M107" s="87"/>
      <x:c r="N107" s="88"/>
    </x:row>
    <x:row r="108">
      <x:c r="A108" s="86"/>
      <x:c r="B108" s="87"/>
      <x:c r="C108" s="111"/>
      <x:c r="D108" s="135"/>
      <x:c r="E108" s="129"/>
      <x:c r="F108" s="129"/>
      <x:c r="G108" s="123" t="str">
        <x:f>IF(OR(D108="",F108="",F108=0),"",D108/F108)</x:f>
      </x:c>
      <x:c r="H108" s="123"/>
      <x:c r="I108" s="87"/>
      <x:c r="J108" s="87"/>
      <x:c r="K108" s="117"/>
      <x:c r="L108" s="87"/>
      <x:c r="M108" s="87"/>
      <x:c r="N108" s="88"/>
    </x:row>
    <x:row r="109">
      <x:c r="A109" s="86"/>
      <x:c r="B109" s="87"/>
      <x:c r="C109" s="111"/>
      <x:c r="D109" s="135"/>
      <x:c r="E109" s="129"/>
      <x:c r="F109" s="129"/>
      <x:c r="G109" s="123" t="str">
        <x:f>IF(OR(D109="",F109="",F109=0),"",D109/F109)</x:f>
      </x:c>
      <x:c r="H109" s="123"/>
      <x:c r="I109" s="87"/>
      <x:c r="J109" s="87"/>
      <x:c r="K109" s="117"/>
      <x:c r="L109" s="87"/>
      <x:c r="M109" s="87"/>
      <x:c r="N109" s="88"/>
    </x:row>
    <x:row r="110">
      <x:c r="A110" s="86"/>
      <x:c r="B110" s="87"/>
      <x:c r="C110" s="111"/>
      <x:c r="D110" s="135"/>
      <x:c r="E110" s="129"/>
      <x:c r="F110" s="129"/>
      <x:c r="G110" s="123" t="str">
        <x:f>IF(OR(D110="",F110="",F110=0),"",D110/F110)</x:f>
      </x:c>
      <x:c r="H110" s="123"/>
      <x:c r="I110" s="87"/>
      <x:c r="J110" s="87"/>
      <x:c r="K110" s="117"/>
      <x:c r="L110" s="87"/>
      <x:c r="M110" s="87"/>
      <x:c r="N110" s="88"/>
    </x:row>
    <x:row r="111">
      <x:c r="A111" s="86"/>
      <x:c r="B111" s="87"/>
      <x:c r="C111" s="111"/>
      <x:c r="D111" s="135"/>
      <x:c r="E111" s="129"/>
      <x:c r="F111" s="129"/>
      <x:c r="G111" s="123" t="str">
        <x:f>IF(OR(D111="",F111="",F111=0),"",D111/F111)</x:f>
      </x:c>
      <x:c r="H111" s="123"/>
      <x:c r="I111" s="87"/>
      <x:c r="J111" s="87"/>
      <x:c r="K111" s="117"/>
      <x:c r="L111" s="87"/>
      <x:c r="M111" s="87"/>
      <x:c r="N111" s="88"/>
    </x:row>
    <x:row r="112">
      <x:c r="A112" s="86"/>
      <x:c r="B112" s="87"/>
      <x:c r="C112" s="111"/>
      <x:c r="D112" s="135"/>
      <x:c r="E112" s="129"/>
      <x:c r="F112" s="129"/>
      <x:c r="G112" s="123" t="str">
        <x:f>IF(OR(D112="",F112="",F112=0),"",D112/F112)</x:f>
      </x:c>
      <x:c r="H112" s="123"/>
      <x:c r="I112" s="87"/>
      <x:c r="J112" s="87"/>
      <x:c r="K112" s="117"/>
      <x:c r="L112" s="87"/>
      <x:c r="M112" s="87"/>
      <x:c r="N112" s="88"/>
    </x:row>
    <x:row r="113">
      <x:c r="A113" s="86"/>
      <x:c r="B113" s="87"/>
      <x:c r="C113" s="111"/>
      <x:c r="D113" s="135"/>
      <x:c r="E113" s="129"/>
      <x:c r="F113" s="129"/>
      <x:c r="G113" s="123" t="str">
        <x:f>IF(OR(D113="",F113="",F113=0),"",D113/F113)</x:f>
      </x:c>
      <x:c r="H113" s="123"/>
      <x:c r="I113" s="87"/>
      <x:c r="J113" s="87"/>
      <x:c r="K113" s="117"/>
      <x:c r="L113" s="87"/>
      <x:c r="M113" s="87"/>
      <x:c r="N113" s="88"/>
    </x:row>
    <x:row r="114">
      <x:c r="A114" s="86"/>
      <x:c r="B114" s="87"/>
      <x:c r="C114" s="111"/>
      <x:c r="D114" s="135"/>
      <x:c r="E114" s="129"/>
      <x:c r="F114" s="129"/>
      <x:c r="G114" s="123" t="str">
        <x:f>IF(OR(D114="",F114="",F114=0),"",D114/F114)</x:f>
      </x:c>
      <x:c r="H114" s="123"/>
      <x:c r="I114" s="87"/>
      <x:c r="J114" s="87"/>
      <x:c r="K114" s="117"/>
      <x:c r="L114" s="87"/>
      <x:c r="M114" s="87"/>
      <x:c r="N114" s="88"/>
    </x:row>
    <x:row r="115">
      <x:c r="A115" s="86"/>
      <x:c r="B115" s="87"/>
      <x:c r="C115" s="111"/>
      <x:c r="D115" s="135"/>
      <x:c r="E115" s="129"/>
      <x:c r="F115" s="129"/>
      <x:c r="G115" s="123" t="str">
        <x:f>IF(OR(D115="",F115="",F115=0),"",D115/F115)</x:f>
      </x:c>
      <x:c r="H115" s="123"/>
      <x:c r="I115" s="87"/>
      <x:c r="J115" s="87"/>
      <x:c r="K115" s="117"/>
      <x:c r="L115" s="87"/>
      <x:c r="M115" s="87"/>
      <x:c r="N115" s="88"/>
    </x:row>
    <x:row r="116">
      <x:c r="A116" s="86"/>
      <x:c r="B116" s="87"/>
      <x:c r="C116" s="111"/>
      <x:c r="D116" s="135"/>
      <x:c r="E116" s="129"/>
      <x:c r="F116" s="129"/>
      <x:c r="G116" s="123" t="str">
        <x:f>IF(OR(D116="",F116="",F116=0),"",D116/F116)</x:f>
      </x:c>
      <x:c r="H116" s="123"/>
      <x:c r="I116" s="87"/>
      <x:c r="J116" s="87"/>
      <x:c r="K116" s="117"/>
      <x:c r="L116" s="87"/>
      <x:c r="M116" s="87"/>
      <x:c r="N116" s="88"/>
    </x:row>
    <x:row r="117">
      <x:c r="A117" s="86"/>
      <x:c r="B117" s="87"/>
      <x:c r="C117" s="111"/>
      <x:c r="D117" s="135"/>
      <x:c r="E117" s="129"/>
      <x:c r="F117" s="129"/>
      <x:c r="G117" s="123" t="str">
        <x:f>IF(OR(D117="",F117="",F117=0),"",D117/F117)</x:f>
      </x:c>
      <x:c r="H117" s="123"/>
      <x:c r="I117" s="87"/>
      <x:c r="J117" s="87"/>
      <x:c r="K117" s="117"/>
      <x:c r="L117" s="87"/>
      <x:c r="M117" s="87"/>
      <x:c r="N117" s="88"/>
    </x:row>
    <x:row r="118">
      <x:c r="A118" s="86"/>
      <x:c r="B118" s="87"/>
      <x:c r="C118" s="111"/>
      <x:c r="D118" s="135"/>
      <x:c r="E118" s="129"/>
      <x:c r="F118" s="129"/>
      <x:c r="G118" s="123" t="str">
        <x:f>IF(OR(D118="",F118="",F118=0),"",D118/F118)</x:f>
      </x:c>
      <x:c r="H118" s="123"/>
      <x:c r="I118" s="87"/>
      <x:c r="J118" s="87"/>
      <x:c r="K118" s="117"/>
      <x:c r="L118" s="87"/>
      <x:c r="M118" s="87"/>
      <x:c r="N118" s="88"/>
    </x:row>
    <x:row r="119">
      <x:c r="A119" s="86"/>
      <x:c r="B119" s="87"/>
      <x:c r="C119" s="111"/>
      <x:c r="D119" s="135"/>
      <x:c r="E119" s="129"/>
      <x:c r="F119" s="129"/>
      <x:c r="G119" s="123" t="str">
        <x:f>IF(OR(D119="",F119="",F119=0),"",D119/F119)</x:f>
      </x:c>
      <x:c r="H119" s="123"/>
      <x:c r="I119" s="87"/>
      <x:c r="J119" s="87"/>
      <x:c r="K119" s="117"/>
      <x:c r="L119" s="87"/>
      <x:c r="M119" s="87"/>
      <x:c r="N119" s="88"/>
    </x:row>
    <x:row r="120">
      <x:c r="A120" s="86"/>
      <x:c r="B120" s="87"/>
      <x:c r="C120" s="111"/>
      <x:c r="D120" s="135"/>
      <x:c r="E120" s="129"/>
      <x:c r="F120" s="129"/>
      <x:c r="G120" s="123" t="str">
        <x:f>IF(OR(D120="",F120="",F120=0),"",D120/F120)</x:f>
      </x:c>
      <x:c r="H120" s="123"/>
      <x:c r="I120" s="87"/>
      <x:c r="J120" s="87"/>
      <x:c r="K120" s="117"/>
      <x:c r="L120" s="87"/>
      <x:c r="M120" s="87"/>
      <x:c r="N120" s="88"/>
    </x:row>
    <x:row r="121">
      <x:c r="A121" s="86"/>
      <x:c r="B121" s="87"/>
      <x:c r="C121" s="111"/>
      <x:c r="D121" s="135"/>
      <x:c r="E121" s="129"/>
      <x:c r="F121" s="129"/>
      <x:c r="G121" s="123" t="str">
        <x:f>IF(OR(D121="",F121="",F121=0),"",D121/F121)</x:f>
      </x:c>
      <x:c r="H121" s="123"/>
      <x:c r="I121" s="87"/>
      <x:c r="J121" s="87"/>
      <x:c r="K121" s="117"/>
      <x:c r="L121" s="87"/>
      <x:c r="M121" s="87"/>
      <x:c r="N121" s="88"/>
    </x:row>
    <x:row r="122">
      <x:c r="A122" s="86"/>
      <x:c r="B122" s="87"/>
      <x:c r="C122" s="111"/>
      <x:c r="D122" s="135"/>
      <x:c r="E122" s="129"/>
      <x:c r="F122" s="129"/>
      <x:c r="G122" s="123" t="str">
        <x:f>IF(OR(D122="",F122="",F122=0),"",D122/F122)</x:f>
      </x:c>
      <x:c r="H122" s="123"/>
      <x:c r="I122" s="87"/>
      <x:c r="J122" s="87"/>
      <x:c r="K122" s="117"/>
      <x:c r="L122" s="87"/>
      <x:c r="M122" s="87"/>
      <x:c r="N122" s="88"/>
    </x:row>
    <x:row r="123">
      <x:c r="A123" s="86"/>
      <x:c r="B123" s="87"/>
      <x:c r="C123" s="111"/>
      <x:c r="D123" s="135"/>
      <x:c r="E123" s="129"/>
      <x:c r="F123" s="129"/>
      <x:c r="G123" s="123" t="str">
        <x:f>IF(OR(D123="",F123="",F123=0),"",D123/F123)</x:f>
      </x:c>
      <x:c r="H123" s="123"/>
      <x:c r="I123" s="87"/>
      <x:c r="J123" s="87"/>
      <x:c r="K123" s="117"/>
      <x:c r="L123" s="87"/>
      <x:c r="M123" s="87"/>
      <x:c r="N123" s="88"/>
    </x:row>
    <x:row r="124">
      <x:c r="A124" s="86"/>
      <x:c r="B124" s="87"/>
      <x:c r="C124" s="111"/>
      <x:c r="D124" s="135"/>
      <x:c r="E124" s="129"/>
      <x:c r="F124" s="129"/>
      <x:c r="G124" s="123" t="str">
        <x:f>IF(OR(D124="",F124="",F124=0),"",D124/F124)</x:f>
      </x:c>
      <x:c r="H124" s="123"/>
      <x:c r="I124" s="87"/>
      <x:c r="J124" s="87"/>
      <x:c r="K124" s="117"/>
      <x:c r="L124" s="87"/>
      <x:c r="M124" s="87"/>
      <x:c r="N124" s="88"/>
    </x:row>
    <x:row r="125">
      <x:c r="A125" s="86"/>
      <x:c r="B125" s="87"/>
      <x:c r="C125" s="111"/>
      <x:c r="D125" s="135"/>
      <x:c r="E125" s="129"/>
      <x:c r="F125" s="129"/>
      <x:c r="G125" s="123" t="str">
        <x:f>IF(OR(D125="",F125="",F125=0),"",D125/F125)</x:f>
      </x:c>
      <x:c r="H125" s="123"/>
      <x:c r="I125" s="87"/>
      <x:c r="J125" s="87"/>
      <x:c r="K125" s="117"/>
      <x:c r="L125" s="87"/>
      <x:c r="M125" s="87"/>
      <x:c r="N125" s="88"/>
    </x:row>
    <x:row r="126">
      <x:c r="A126" s="86"/>
      <x:c r="B126" s="87"/>
      <x:c r="C126" s="111"/>
      <x:c r="D126" s="135"/>
      <x:c r="E126" s="129"/>
      <x:c r="F126" s="129"/>
      <x:c r="G126" s="123" t="str">
        <x:f>IF(OR(D126="",F126="",F126=0),"",D126/F126)</x:f>
      </x:c>
      <x:c r="H126" s="123"/>
      <x:c r="I126" s="87"/>
      <x:c r="J126" s="87"/>
      <x:c r="K126" s="117"/>
      <x:c r="L126" s="87"/>
      <x:c r="M126" s="87"/>
      <x:c r="N126" s="88"/>
    </x:row>
    <x:row r="127">
      <x:c r="A127" s="86"/>
      <x:c r="B127" s="87"/>
      <x:c r="C127" s="111"/>
      <x:c r="D127" s="135"/>
      <x:c r="E127" s="129"/>
      <x:c r="F127" s="129"/>
      <x:c r="G127" s="123" t="str">
        <x:f>IF(OR(D127="",F127="",F127=0),"",D127/F127)</x:f>
      </x:c>
      <x:c r="H127" s="123"/>
      <x:c r="I127" s="87"/>
      <x:c r="J127" s="87"/>
      <x:c r="K127" s="117"/>
      <x:c r="L127" s="87"/>
      <x:c r="M127" s="87"/>
      <x:c r="N127" s="88"/>
    </x:row>
    <x:row r="128">
      <x:c r="A128" s="86"/>
      <x:c r="B128" s="87"/>
      <x:c r="C128" s="111"/>
      <x:c r="D128" s="135"/>
      <x:c r="E128" s="129"/>
      <x:c r="F128" s="129"/>
      <x:c r="G128" s="123" t="str">
        <x:f>IF(OR(D128="",F128="",F128=0),"",D128/F128)</x:f>
      </x:c>
      <x:c r="H128" s="123"/>
      <x:c r="I128" s="87"/>
      <x:c r="J128" s="87"/>
      <x:c r="K128" s="117"/>
      <x:c r="L128" s="87"/>
      <x:c r="M128" s="87"/>
      <x:c r="N128" s="88"/>
    </x:row>
    <x:row r="129">
      <x:c r="A129" s="86"/>
      <x:c r="B129" s="87"/>
      <x:c r="C129" s="111"/>
      <x:c r="D129" s="135"/>
      <x:c r="E129" s="129"/>
      <x:c r="F129" s="129"/>
      <x:c r="G129" s="123" t="str">
        <x:f>IF(OR(D129="",F129="",F129=0),"",D129/F129)</x:f>
      </x:c>
      <x:c r="H129" s="123"/>
      <x:c r="I129" s="87"/>
      <x:c r="J129" s="87"/>
      <x:c r="K129" s="117"/>
      <x:c r="L129" s="87"/>
      <x:c r="M129" s="87"/>
      <x:c r="N129" s="88"/>
    </x:row>
    <x:row r="130">
      <x:c r="A130" s="86"/>
      <x:c r="B130" s="87"/>
      <x:c r="C130" s="111"/>
      <x:c r="D130" s="135"/>
      <x:c r="E130" s="129"/>
      <x:c r="F130" s="129"/>
      <x:c r="G130" s="123" t="str">
        <x:f>IF(OR(D130="",F130="",F130=0),"",D130/F130)</x:f>
      </x:c>
      <x:c r="H130" s="123"/>
      <x:c r="I130" s="87"/>
      <x:c r="J130" s="87"/>
      <x:c r="K130" s="117"/>
      <x:c r="L130" s="87"/>
      <x:c r="M130" s="87"/>
      <x:c r="N130" s="88"/>
    </x:row>
    <x:row r="131">
      <x:c r="A131" s="86"/>
      <x:c r="B131" s="87"/>
      <x:c r="C131" s="111"/>
      <x:c r="D131" s="135"/>
      <x:c r="E131" s="129"/>
      <x:c r="F131" s="129"/>
      <x:c r="G131" s="123" t="str">
        <x:f>IF(OR(D131="",F131="",F131=0),"",D131/F131)</x:f>
      </x:c>
      <x:c r="H131" s="123"/>
      <x:c r="I131" s="87"/>
      <x:c r="J131" s="87"/>
      <x:c r="K131" s="117"/>
      <x:c r="L131" s="87"/>
      <x:c r="M131" s="87"/>
      <x:c r="N131" s="88"/>
    </x:row>
    <x:row r="132">
      <x:c r="A132" s="86"/>
      <x:c r="B132" s="87"/>
      <x:c r="C132" s="111"/>
      <x:c r="D132" s="135"/>
      <x:c r="E132" s="129"/>
      <x:c r="F132" s="129"/>
      <x:c r="G132" s="123" t="str">
        <x:f>IF(OR(D132="",F132="",F132=0),"",D132/F132)</x:f>
      </x:c>
      <x:c r="H132" s="123"/>
      <x:c r="I132" s="87"/>
      <x:c r="J132" s="87"/>
      <x:c r="K132" s="117"/>
      <x:c r="L132" s="87"/>
      <x:c r="M132" s="87"/>
      <x:c r="N132" s="88"/>
    </x:row>
    <x:row r="133">
      <x:c r="A133" s="86"/>
      <x:c r="B133" s="87"/>
      <x:c r="C133" s="111"/>
      <x:c r="D133" s="135"/>
      <x:c r="E133" s="129"/>
      <x:c r="F133" s="129"/>
      <x:c r="G133" s="123" t="str">
        <x:f>IF(OR(D133="",F133="",F133=0),"",D133/F133)</x:f>
      </x:c>
      <x:c r="H133" s="123"/>
      <x:c r="I133" s="87"/>
      <x:c r="J133" s="87"/>
      <x:c r="K133" s="117"/>
      <x:c r="L133" s="87"/>
      <x:c r="M133" s="87"/>
      <x:c r="N133" s="88"/>
    </x:row>
    <x:row r="134">
      <x:c r="A134" s="86"/>
      <x:c r="B134" s="87"/>
      <x:c r="C134" s="111"/>
      <x:c r="D134" s="135"/>
      <x:c r="E134" s="129"/>
      <x:c r="F134" s="129"/>
      <x:c r="G134" s="123" t="str">
        <x:f>IF(OR(D134="",F134="",F134=0),"",D134/F134)</x:f>
      </x:c>
      <x:c r="H134" s="123"/>
      <x:c r="I134" s="87"/>
      <x:c r="J134" s="87"/>
      <x:c r="K134" s="117"/>
      <x:c r="L134" s="87"/>
      <x:c r="M134" s="87"/>
      <x:c r="N134" s="88"/>
    </x:row>
    <x:row r="135">
      <x:c r="A135" s="86"/>
      <x:c r="B135" s="87"/>
      <x:c r="C135" s="111"/>
      <x:c r="D135" s="135"/>
      <x:c r="E135" s="129"/>
      <x:c r="F135" s="129"/>
      <x:c r="G135" s="123" t="str">
        <x:f>IF(OR(D135="",F135="",F135=0),"",D135/F135)</x:f>
      </x:c>
      <x:c r="H135" s="123"/>
      <x:c r="I135" s="87"/>
      <x:c r="J135" s="87"/>
      <x:c r="K135" s="117"/>
      <x:c r="L135" s="87"/>
      <x:c r="M135" s="87"/>
      <x:c r="N135" s="88"/>
    </x:row>
    <x:row r="136">
      <x:c r="A136" s="86"/>
      <x:c r="B136" s="87"/>
      <x:c r="C136" s="111"/>
      <x:c r="D136" s="135"/>
      <x:c r="E136" s="129"/>
      <x:c r="F136" s="129"/>
      <x:c r="G136" s="123" t="str">
        <x:f>IF(OR(D136="",F136="",F136=0),"",D136/F136)</x:f>
      </x:c>
      <x:c r="H136" s="123"/>
      <x:c r="I136" s="87"/>
      <x:c r="J136" s="87"/>
      <x:c r="K136" s="117"/>
      <x:c r="L136" s="87"/>
      <x:c r="M136" s="87"/>
      <x:c r="N136" s="88"/>
    </x:row>
    <x:row r="137">
      <x:c r="A137" s="86"/>
      <x:c r="B137" s="87"/>
      <x:c r="C137" s="111"/>
      <x:c r="D137" s="135"/>
      <x:c r="E137" s="129"/>
      <x:c r="F137" s="129"/>
      <x:c r="G137" s="123" t="str">
        <x:f>IF(OR(D137="",F137="",F137=0),"",D137/F137)</x:f>
      </x:c>
      <x:c r="H137" s="123"/>
      <x:c r="I137" s="87"/>
      <x:c r="J137" s="87"/>
      <x:c r="K137" s="117"/>
      <x:c r="L137" s="87"/>
      <x:c r="M137" s="87"/>
      <x:c r="N137" s="88"/>
    </x:row>
    <x:row r="138">
      <x:c r="A138" s="86"/>
      <x:c r="B138" s="87"/>
      <x:c r="C138" s="111"/>
      <x:c r="D138" s="135"/>
      <x:c r="E138" s="129"/>
      <x:c r="F138" s="129"/>
      <x:c r="G138" s="123" t="str">
        <x:f>IF(OR(D138="",F138="",F138=0),"",D138/F138)</x:f>
      </x:c>
      <x:c r="H138" s="123"/>
      <x:c r="I138" s="87"/>
      <x:c r="J138" s="87"/>
      <x:c r="K138" s="117"/>
      <x:c r="L138" s="87"/>
      <x:c r="M138" s="87"/>
      <x:c r="N138" s="88"/>
    </x:row>
    <x:row r="139">
      <x:c r="A139" s="86"/>
      <x:c r="B139" s="87"/>
      <x:c r="C139" s="111"/>
      <x:c r="D139" s="135"/>
      <x:c r="E139" s="129"/>
      <x:c r="F139" s="129"/>
      <x:c r="G139" s="123" t="str">
        <x:f>IF(OR(D139="",F139="",F139=0),"",D139/F139)</x:f>
      </x:c>
      <x:c r="H139" s="123"/>
      <x:c r="I139" s="87"/>
      <x:c r="J139" s="87"/>
      <x:c r="K139" s="117"/>
      <x:c r="L139" s="87"/>
      <x:c r="M139" s="87"/>
      <x:c r="N139" s="88"/>
    </x:row>
    <x:row r="140">
      <x:c r="A140" s="86"/>
      <x:c r="B140" s="87"/>
      <x:c r="C140" s="111"/>
      <x:c r="D140" s="135"/>
      <x:c r="E140" s="129"/>
      <x:c r="F140" s="129"/>
      <x:c r="G140" s="123" t="str">
        <x:f>IF(OR(D140="",F140="",F140=0),"",D140/F140)</x:f>
      </x:c>
      <x:c r="H140" s="123"/>
      <x:c r="I140" s="87"/>
      <x:c r="J140" s="87"/>
      <x:c r="K140" s="117"/>
      <x:c r="L140" s="87"/>
      <x:c r="M140" s="87"/>
      <x:c r="N140" s="88"/>
    </x:row>
    <x:row r="141">
      <x:c r="A141" s="86"/>
      <x:c r="B141" s="87"/>
      <x:c r="C141" s="111"/>
      <x:c r="D141" s="135"/>
      <x:c r="E141" s="129"/>
      <x:c r="F141" s="129"/>
      <x:c r="G141" s="123" t="str">
        <x:f>IF(OR(D141="",F141="",F141=0),"",D141/F141)</x:f>
      </x:c>
      <x:c r="H141" s="123"/>
      <x:c r="I141" s="87"/>
      <x:c r="J141" s="87"/>
      <x:c r="K141" s="117"/>
      <x:c r="L141" s="87"/>
      <x:c r="M141" s="87"/>
      <x:c r="N141" s="88"/>
    </x:row>
    <x:row r="142">
      <x:c r="A142" s="86"/>
      <x:c r="B142" s="87"/>
      <x:c r="C142" s="111"/>
      <x:c r="D142" s="135"/>
      <x:c r="E142" s="129"/>
      <x:c r="F142" s="129"/>
      <x:c r="G142" s="123" t="str">
        <x:f>IF(OR(D142="",F142="",F142=0),"",D142/F142)</x:f>
      </x:c>
      <x:c r="H142" s="123"/>
      <x:c r="I142" s="87"/>
      <x:c r="J142" s="87"/>
      <x:c r="K142" s="117"/>
      <x:c r="L142" s="87"/>
      <x:c r="M142" s="87"/>
      <x:c r="N142" s="88"/>
    </x:row>
    <x:row r="143">
      <x:c r="A143" s="86"/>
      <x:c r="B143" s="87"/>
      <x:c r="C143" s="111"/>
      <x:c r="D143" s="135"/>
      <x:c r="E143" s="129"/>
      <x:c r="F143" s="129"/>
      <x:c r="G143" s="123" t="str">
        <x:f>IF(OR(D143="",F143="",F143=0),"",D143/F143)</x:f>
      </x:c>
      <x:c r="H143" s="123"/>
      <x:c r="I143" s="87"/>
      <x:c r="J143" s="87"/>
      <x:c r="K143" s="117"/>
      <x:c r="L143" s="87"/>
      <x:c r="M143" s="87"/>
      <x:c r="N143" s="88"/>
    </x:row>
    <x:row r="144">
      <x:c r="A144" s="86"/>
      <x:c r="B144" s="87"/>
      <x:c r="C144" s="111"/>
      <x:c r="D144" s="135"/>
      <x:c r="E144" s="129"/>
      <x:c r="F144" s="129"/>
      <x:c r="G144" s="123" t="str">
        <x:f>IF(OR(D144="",F144="",F144=0),"",D144/F144)</x:f>
      </x:c>
      <x:c r="H144" s="123"/>
      <x:c r="I144" s="87"/>
      <x:c r="J144" s="87"/>
      <x:c r="K144" s="117"/>
      <x:c r="L144" s="87"/>
      <x:c r="M144" s="87"/>
      <x:c r="N144" s="88"/>
    </x:row>
    <x:row r="145">
      <x:c r="A145" s="86"/>
      <x:c r="B145" s="87"/>
      <x:c r="C145" s="111"/>
      <x:c r="D145" s="135"/>
      <x:c r="E145" s="129"/>
      <x:c r="F145" s="129"/>
      <x:c r="G145" s="123" t="str">
        <x:f>IF(OR(D145="",F145="",F145=0),"",D145/F145)</x:f>
      </x:c>
      <x:c r="H145" s="123"/>
      <x:c r="I145" s="87"/>
      <x:c r="J145" s="87"/>
      <x:c r="K145" s="117"/>
      <x:c r="L145" s="87"/>
      <x:c r="M145" s="87"/>
      <x:c r="N145" s="88"/>
    </x:row>
    <x:row r="146">
      <x:c r="A146" s="86"/>
      <x:c r="B146" s="87"/>
      <x:c r="C146" s="111"/>
      <x:c r="D146" s="135"/>
      <x:c r="E146" s="129"/>
      <x:c r="F146" s="129"/>
      <x:c r="G146" s="123" t="str">
        <x:f>IF(OR(D146="",F146="",F146=0),"",D146/F146)</x:f>
      </x:c>
      <x:c r="H146" s="123"/>
      <x:c r="I146" s="87"/>
      <x:c r="J146" s="87"/>
      <x:c r="K146" s="117"/>
      <x:c r="L146" s="87"/>
      <x:c r="M146" s="87"/>
      <x:c r="N146" s="88"/>
    </x:row>
    <x:row r="147">
      <x:c r="A147" s="86"/>
      <x:c r="B147" s="87"/>
      <x:c r="C147" s="111"/>
      <x:c r="D147" s="135"/>
      <x:c r="E147" s="129"/>
      <x:c r="F147" s="129"/>
      <x:c r="G147" s="123" t="str">
        <x:f>IF(OR(D147="",F147="",F147=0),"",D147/F147)</x:f>
      </x:c>
      <x:c r="H147" s="123"/>
      <x:c r="I147" s="87"/>
      <x:c r="J147" s="87"/>
      <x:c r="K147" s="117"/>
      <x:c r="L147" s="87"/>
      <x:c r="M147" s="87"/>
      <x:c r="N147" s="88"/>
    </x:row>
    <x:row r="148">
      <x:c r="A148" s="86"/>
      <x:c r="B148" s="87"/>
      <x:c r="C148" s="111"/>
      <x:c r="D148" s="135"/>
      <x:c r="E148" s="129"/>
      <x:c r="F148" s="129"/>
      <x:c r="G148" s="123" t="str">
        <x:f>IF(OR(D148="",F148="",F148=0),"",D148/F148)</x:f>
      </x:c>
      <x:c r="H148" s="123"/>
      <x:c r="I148" s="87"/>
      <x:c r="J148" s="87"/>
      <x:c r="K148" s="117"/>
      <x:c r="L148" s="87"/>
      <x:c r="M148" s="87"/>
      <x:c r="N148" s="88"/>
    </x:row>
    <x:row r="149">
      <x:c r="A149" s="86"/>
      <x:c r="B149" s="87"/>
      <x:c r="C149" s="111"/>
      <x:c r="D149" s="135"/>
      <x:c r="E149" s="129"/>
      <x:c r="F149" s="129"/>
      <x:c r="G149" s="123" t="str">
        <x:f>IF(OR(D149="",F149="",F149=0),"",D149/F149)</x:f>
      </x:c>
      <x:c r="H149" s="123"/>
      <x:c r="I149" s="87"/>
      <x:c r="J149" s="87"/>
      <x:c r="K149" s="117"/>
      <x:c r="L149" s="87"/>
      <x:c r="M149" s="87"/>
      <x:c r="N149" s="88"/>
    </x:row>
    <x:row r="150">
      <x:c r="A150" s="86"/>
      <x:c r="B150" s="87"/>
      <x:c r="C150" s="111"/>
      <x:c r="D150" s="135"/>
      <x:c r="E150" s="129"/>
      <x:c r="F150" s="129"/>
      <x:c r="G150" s="123" t="str">
        <x:f>IF(OR(D150="",F150="",F150=0),"",D150/F150)</x:f>
      </x:c>
      <x:c r="H150" s="123"/>
      <x:c r="I150" s="87"/>
      <x:c r="J150" s="87"/>
      <x:c r="K150" s="117"/>
      <x:c r="L150" s="87"/>
      <x:c r="M150" s="87"/>
      <x:c r="N150" s="88"/>
    </x:row>
    <x:row r="151">
      <x:c r="A151" s="86"/>
      <x:c r="B151" s="87"/>
      <x:c r="C151" s="111"/>
      <x:c r="D151" s="135"/>
      <x:c r="E151" s="129"/>
      <x:c r="F151" s="129"/>
      <x:c r="G151" s="123" t="str">
        <x:f>IF(OR(D151="",F151="",F151=0),"",D151/F151)</x:f>
      </x:c>
      <x:c r="H151" s="123"/>
      <x:c r="I151" s="87"/>
      <x:c r="J151" s="87"/>
      <x:c r="K151" s="117"/>
      <x:c r="L151" s="87"/>
      <x:c r="M151" s="87"/>
      <x:c r="N151" s="88"/>
    </x:row>
    <x:row r="152">
      <x:c r="A152" s="86"/>
      <x:c r="B152" s="87"/>
      <x:c r="C152" s="111"/>
      <x:c r="D152" s="135"/>
      <x:c r="E152" s="129"/>
      <x:c r="F152" s="129"/>
      <x:c r="G152" s="123" t="str">
        <x:f>IF(OR(D152="",F152="",F152=0),"",D152/F152)</x:f>
      </x:c>
      <x:c r="H152" s="123"/>
      <x:c r="I152" s="87"/>
      <x:c r="J152" s="87"/>
      <x:c r="K152" s="117"/>
      <x:c r="L152" s="87"/>
      <x:c r="M152" s="87"/>
      <x:c r="N152" s="88"/>
    </x:row>
    <x:row r="153">
      <x:c r="A153" s="89"/>
      <x:c r="B153" s="90"/>
      <x:c r="C153" s="112"/>
      <x:c r="D153" s="136"/>
      <x:c r="E153" s="130"/>
      <x:c r="F153" s="130"/>
      <x:c r="G153" s="124" t="str">
        <x:f>IF(OR(D153="",F153="",F153=0),"",D153/F153)</x:f>
      </x:c>
      <x:c r="H153" s="124"/>
      <x:c r="I153" s="90"/>
      <x:c r="J153" s="90"/>
      <x:c r="K153" s="118"/>
      <x:c r="L153" s="90"/>
      <x:c r="M153" s="90"/>
      <x:c r="N153" s="91"/>
    </x:row>
  </x:sheetData>
  <x:mergeCells>
    <x:mergeCell ref="A1:N1"/>
  </x:mergeCells>
  <x:dataValidations count="1">
    <x:dataValidation type="list" sqref="L4:L153">
      <x:formula1>"Sim,Não"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52" hidden="0" customWidth="1"/>
    <x:col min="12" max="12" width="15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8" hidden="0" customWidth="1"/>
    <x:col min="23" max="23" width="10" hidden="0" customWidth="1"/>
    <x:col min="24" max="24" width="10" hidden="0" customWidth="1"/>
    <x:col min="25" max="25" width="22" hidden="0" customWidth="1"/>
    <x:col min="26" max="26" width="44" hidden="0" customWidth="1"/>
    <x:col min="27" max="27" width="44" hidden="0" customWidth="1"/>
    <x:col min="28" max="28" width="30" hidden="0" customWidth="1"/>
    <x:col min="29" max="29" width="14" hidden="0" customWidth="1"/>
  </x:cols>
  <x:sheetData>
    <x:row r="1" ht="28" customHeight="1">
      <x:c r="A1" s="5" t="str">
        <x:v>Benchmark Experimental — 30 Questões</x:v>
      </x:c>
    </x:row>
    <x:row r="3" ht="28" customHeight="1">
      <x:c r="A3" s="58" t="str">
        <x:v>ID</x:v>
      </x:c>
      <x:c r="B3" s="59" t="str">
        <x:v>Categoria</x:v>
      </x:c>
      <x:c r="C3" s="59" t="str">
        <x:v>Dificuldade</x:v>
      </x:c>
      <x:c r="D3" s="59" t="str">
        <x:v>Classe_Ativo</x:v>
      </x:c>
      <x:c r="E3" s="59" t="str">
        <x:v>Ticker_1</x:v>
      </x:c>
      <x:c r="F3" s="59" t="str">
        <x:v>Ticker_2</x:v>
      </x:c>
      <x:c r="G3" s="59" t="str">
        <x:v>Ticker_3</x:v>
      </x:c>
      <x:c r="H3" s="59" t="str">
        <x:v>Data_Inicial</x:v>
      </x:c>
      <x:c r="I3" s="59" t="str">
        <x:v>Data_Final</x:v>
      </x:c>
      <x:c r="J3" s="59" t="str">
        <x:v>Snapshot_ID</x:v>
      </x:c>
      <x:c r="K3" s="59" t="str">
        <x:v>Pergunta_Final</x:v>
      </x:c>
      <x:c r="L3" s="59" t="str">
        <x:v>Tipo_Resposta</x:v>
      </x:c>
      <x:c r="M3" s="59" t="str">
        <x:v>Fech_T1_Início</x:v>
      </x:c>
      <x:c r="N3" s="59" t="str">
        <x:v>Fech_T1_Fim</x:v>
      </x:c>
      <x:c r="O3" s="59" t="str">
        <x:v>Retorno_T1_%</x:v>
      </x:c>
      <x:c r="P3" s="59" t="str">
        <x:v>Fech_T2_Início</x:v>
      </x:c>
      <x:c r="Q3" s="59" t="str">
        <x:v>Fech_T2_Fim</x:v>
      </x:c>
      <x:c r="R3" s="59" t="str">
        <x:v>Retorno_T2_%</x:v>
      </x:c>
      <x:c r="S3" s="59" t="str">
        <x:v>Fech_T3_Início</x:v>
      </x:c>
      <x:c r="T3" s="59" t="str">
        <x:v>Fech_T3_Fim</x:v>
      </x:c>
      <x:c r="U3" s="59" t="str">
        <x:v>Retorno_T3_%</x:v>
      </x:c>
      <x:c r="V3" s="59" t="str">
        <x:v>Gabarito_Automático</x:v>
      </x:c>
      <x:c r="W3" s="59" t="str">
        <x:v>Unidade</x:v>
      </x:c>
      <x:c r="X3" s="59" t="str">
        <x:v>Tolerância</x:v>
      </x:c>
      <x:c r="Y3" s="59" t="str">
        <x:v>Ferramenta_Esperada</x:v>
      </x:c>
      <x:c r="Z3" s="59" t="str">
        <x:v>Fatos_Obrigatórios</x:v>
      </x:c>
      <x:c r="AA3" s="59" t="str">
        <x:v>Afirmações_Proibidas</x:v>
      </x:c>
      <x:c r="AB3" s="59" t="str">
        <x:v>Métricas</x:v>
      </x:c>
      <x:c r="AC3" s="60" t="str">
        <x:v>Status</x:v>
      </x:c>
    </x:row>
    <x:row r="4">
      <x:c r="A4" s="83" t="str">
        <x:v>Q001</x:v>
      </x:c>
      <x:c r="B4" s="84" t="str">
        <x:v>factual</x:v>
      </x:c>
      <x:c r="C4" s="84" t="str">
        <x:v>Fácil</x:v>
      </x:c>
      <x:c r="D4" s="84" t="str"/>
      <x:c r="E4" s="84" t="str"/>
      <x:c r="F4" s="84" t="str"/>
      <x:c r="G4" s="84" t="str"/>
      <x:c r="H4" s="110" t="str"/>
      <x:c r="I4" s="110" t="str"/>
      <x:c r="J4" s="84" t="str"/>
      <x:c r="K4" s="146" t="str"/>
      <x:c r="L4" s="146" t="str">
        <x:v>numeric</x:v>
      </x:c>
      <x:c r="M4" s="147" t="str">
        <x:f>IF(OR($J4="",$E4="",$H4=""),"",SUMIFS(Dados_Mercado!$H$4:$H$303,Dados_Mercado!$A$4:$A$303,$J4,Dados_Mercado!$B$4:$B$303,$E4,Dados_Mercado!$D$4:$D$303,$H4))</x:f>
      </x:c>
      <x:c r="N4" s="147" t="str">
        <x:f>IF(OR($J4="",$E4="",$I4=""),"",SUMIFS(Dados_Mercado!$H$4:$H$303,Dados_Mercado!$A$4:$A$303,$J4,Dados_Mercado!$B$4:$B$303,$E4,Dados_Mercado!$D$4:$D$303,$I4))</x:f>
      </x:c>
      <x:c r="O4" s="147" t="str">
        <x:f>IF(OR(M4="",N4="",M4=0),"",(N4-M4)/M4*100)</x:f>
      </x:c>
      <x:c r="P4" s="147" t="str">
        <x:f>IF(OR($J4="",$F4="",$H4=""),"",SUMIFS(Dados_Mercado!$H$4:$H$303,Dados_Mercado!$A$4:$A$303,$J4,Dados_Mercado!$B$4:$B$303,$F4,Dados_Mercado!$D$4:$D$303,$H4))</x:f>
      </x:c>
      <x:c r="Q4" s="147" t="str">
        <x:f>IF(OR($J4="",$F4="",$I4=""),"",SUMIFS(Dados_Mercado!$H$4:$H$303,Dados_Mercado!$A$4:$A$303,$J4,Dados_Mercado!$B$4:$B$303,$F4,Dados_Mercado!$D$4:$D$303,$I4))</x:f>
      </x:c>
      <x:c r="R4" s="147" t="str">
        <x:f>IF(OR(P4="",Q4="",P4=0),"",(Q4-P4)/P4*100)</x:f>
      </x:c>
      <x:c r="S4" s="147" t="str">
        <x:f>IF(OR($J4="",$G4="",$H4=""),"",SUMIFS(Dados_Mercado!$H$4:$H$303,Dados_Mercado!$A$4:$A$303,$J4,Dados_Mercado!$B$4:$B$303,$G4,Dados_Mercado!$D$4:$D$303,$H4))</x:f>
      </x:c>
      <x:c r="T4" s="147" t="str">
        <x:f>IF(OR($J4="",$G4="",$I4=""),"",SUMIFS(Dados_Mercado!$H$4:$H$303,Dados_Mercado!$A$4:$A$303,$J4,Dados_Mercado!$B$4:$B$303,$G4,Dados_Mercado!$D$4:$D$303,$I4))</x:f>
      </x:c>
      <x:c r="U4" s="147" t="str">
        <x:f>IF(OR(S4="",T4="",S4=0),"",(T4-S4)/S4*100)</x:f>
      </x:c>
      <x:c r="V4" s="146" t="str">
        <x:f>IF(B4="factual",M4,IF(B4="calculation",O4,IF(B4="comparison",IF(E4="","",IF(AND(F4&lt;&gt;"",G4&lt;&gt;""),IF(O4&gt;=R4,IF(O4&gt;=U4,E4,G4),IF(R4&gt;=U4,F4,G4)),IF(F4&lt;&gt;"",IF(O4&gt;=R4,E4,F4),E4))),"")))</x:f>
      </x:c>
      <x:c r="W4" s="146" t="str"/>
      <x:c r="X4" s="148" t="n">
        <x:v>0.01</x:v>
      </x:c>
      <x:c r="Y4" s="146" t="str"/>
      <x:c r="Z4" s="146" t="str"/>
      <x:c r="AA4" s="146" t="str"/>
      <x:c r="AB4" s="146" t="str"/>
      <x:c r="AC4" s="149" t="str">
        <x:v>Rascunho</x:v>
      </x:c>
    </x:row>
    <x:row r="5">
      <x:c r="A5" s="86" t="str">
        <x:v>Q002</x:v>
      </x:c>
      <x:c r="B5" s="87" t="str">
        <x:v>factual</x:v>
      </x:c>
      <x:c r="C5" s="87" t="str">
        <x:v>Fácil</x:v>
      </x:c>
      <x:c r="D5" s="87" t="str"/>
      <x:c r="E5" s="87" t="str"/>
      <x:c r="F5" s="87" t="str"/>
      <x:c r="G5" s="87" t="str"/>
      <x:c r="H5" s="111" t="str"/>
      <x:c r="I5" s="111" t="str"/>
      <x:c r="J5" s="87" t="str"/>
      <x:c r="K5" s="150" t="str"/>
      <x:c r="L5" s="150" t="str">
        <x:v>numeric</x:v>
      </x:c>
      <x:c r="M5" s="151" t="str">
        <x:f>IF(OR($J5="",$E5="",$H5=""),"",SUMIFS(Dados_Mercado!$H$4:$H$303,Dados_Mercado!$A$4:$A$303,$J5,Dados_Mercado!$B$4:$B$303,$E5,Dados_Mercado!$D$4:$D$303,$H5))</x:f>
      </x:c>
      <x:c r="N5" s="151" t="str">
        <x:f>IF(OR($J5="",$E5="",$I5=""),"",SUMIFS(Dados_Mercado!$H$4:$H$303,Dados_Mercado!$A$4:$A$303,$J5,Dados_Mercado!$B$4:$B$303,$E5,Dados_Mercado!$D$4:$D$303,$I5))</x:f>
      </x:c>
      <x:c r="O5" s="151" t="str">
        <x:f>IF(OR(M5="",N5="",M5=0),"",(N5-M5)/M5*100)</x:f>
      </x:c>
      <x:c r="P5" s="151" t="str">
        <x:f>IF(OR($J5="",$F5="",$H5=""),"",SUMIFS(Dados_Mercado!$H$4:$H$303,Dados_Mercado!$A$4:$A$303,$J5,Dados_Mercado!$B$4:$B$303,$F5,Dados_Mercado!$D$4:$D$303,$H5))</x:f>
      </x:c>
      <x:c r="Q5" s="151" t="str">
        <x:f>IF(OR($J5="",$F5="",$I5=""),"",SUMIFS(Dados_Mercado!$H$4:$H$303,Dados_Mercado!$A$4:$A$303,$J5,Dados_Mercado!$B$4:$B$303,$F5,Dados_Mercado!$D$4:$D$303,$I5))</x:f>
      </x:c>
      <x:c r="R5" s="151" t="str">
        <x:f>IF(OR(P5="",Q5="",P5=0),"",(Q5-P5)/P5*100)</x:f>
      </x:c>
      <x:c r="S5" s="151" t="str">
        <x:f>IF(OR($J5="",$G5="",$H5=""),"",SUMIFS(Dados_Mercado!$H$4:$H$303,Dados_Mercado!$A$4:$A$303,$J5,Dados_Mercado!$B$4:$B$303,$G5,Dados_Mercado!$D$4:$D$303,$H5))</x:f>
      </x:c>
      <x:c r="T5" s="151" t="str">
        <x:f>IF(OR($J5="",$G5="",$I5=""),"",SUMIFS(Dados_Mercado!$H$4:$H$303,Dados_Mercado!$A$4:$A$303,$J5,Dados_Mercado!$B$4:$B$303,$G5,Dados_Mercado!$D$4:$D$303,$I5))</x:f>
      </x:c>
      <x:c r="U5" s="151" t="str">
        <x:f>IF(OR(S5="",T5="",S5=0),"",(T5-S5)/S5*100)</x:f>
      </x:c>
      <x:c r="V5" s="150" t="str">
        <x:f>IF(B5="factual",M5,IF(B5="calculation",O5,IF(B5="comparison",IF(E5="","",IF(AND(F5&lt;&gt;"",G5&lt;&gt;""),IF(O5&gt;=R5,IF(O5&gt;=U5,E5,G5),IF(R5&gt;=U5,F5,G5)),IF(F5&lt;&gt;"",IF(O5&gt;=R5,E5,F5),E5))),"")))</x:f>
      </x:c>
      <x:c r="W5" s="150" t="str"/>
      <x:c r="X5" s="152" t="n">
        <x:v>0.01</x:v>
      </x:c>
      <x:c r="Y5" s="150" t="str"/>
      <x:c r="Z5" s="150" t="str"/>
      <x:c r="AA5" s="150" t="str"/>
      <x:c r="AB5" s="150" t="str"/>
      <x:c r="AC5" s="153" t="str">
        <x:v>Rascunho</x:v>
      </x:c>
    </x:row>
    <x:row r="6">
      <x:c r="A6" s="86" t="str">
        <x:v>Q003</x:v>
      </x:c>
      <x:c r="B6" s="87" t="str">
        <x:v>factual</x:v>
      </x:c>
      <x:c r="C6" s="87" t="str">
        <x:v>Média</x:v>
      </x:c>
      <x:c r="D6" s="87" t="str"/>
      <x:c r="E6" s="87" t="str"/>
      <x:c r="F6" s="87" t="str"/>
      <x:c r="G6" s="87" t="str"/>
      <x:c r="H6" s="111" t="str"/>
      <x:c r="I6" s="111" t="str"/>
      <x:c r="J6" s="87" t="str"/>
      <x:c r="K6" s="150" t="str"/>
      <x:c r="L6" s="150" t="str">
        <x:v>numeric</x:v>
      </x:c>
      <x:c r="M6" s="151" t="str">
        <x:f>IF(OR($J6="",$E6="",$H6=""),"",SUMIFS(Dados_Mercado!$H$4:$H$303,Dados_Mercado!$A$4:$A$303,$J6,Dados_Mercado!$B$4:$B$303,$E6,Dados_Mercado!$D$4:$D$303,$H6))</x:f>
      </x:c>
      <x:c r="N6" s="151" t="str">
        <x:f>IF(OR($J6="",$E6="",$I6=""),"",SUMIFS(Dados_Mercado!$H$4:$H$303,Dados_Mercado!$A$4:$A$303,$J6,Dados_Mercado!$B$4:$B$303,$E6,Dados_Mercado!$D$4:$D$303,$I6))</x:f>
      </x:c>
      <x:c r="O6" s="151" t="str">
        <x:f>IF(OR(M6="",N6="",M6=0),"",(N6-M6)/M6*100)</x:f>
      </x:c>
      <x:c r="P6" s="151" t="str">
        <x:f>IF(OR($J6="",$F6="",$H6=""),"",SUMIFS(Dados_Mercado!$H$4:$H$303,Dados_Mercado!$A$4:$A$303,$J6,Dados_Mercado!$B$4:$B$303,$F6,Dados_Mercado!$D$4:$D$303,$H6))</x:f>
      </x:c>
      <x:c r="Q6" s="151" t="str">
        <x:f>IF(OR($J6="",$F6="",$I6=""),"",SUMIFS(Dados_Mercado!$H$4:$H$303,Dados_Mercado!$A$4:$A$303,$J6,Dados_Mercado!$B$4:$B$303,$F6,Dados_Mercado!$D$4:$D$303,$I6))</x:f>
      </x:c>
      <x:c r="R6" s="151" t="str">
        <x:f>IF(OR(P6="",Q6="",P6=0),"",(Q6-P6)/P6*100)</x:f>
      </x:c>
      <x:c r="S6" s="151" t="str">
        <x:f>IF(OR($J6="",$G6="",$H6=""),"",SUMIFS(Dados_Mercado!$H$4:$H$303,Dados_Mercado!$A$4:$A$303,$J6,Dados_Mercado!$B$4:$B$303,$G6,Dados_Mercado!$D$4:$D$303,$H6))</x:f>
      </x:c>
      <x:c r="T6" s="151" t="str">
        <x:f>IF(OR($J6="",$G6="",$I6=""),"",SUMIFS(Dados_Mercado!$H$4:$H$303,Dados_Mercado!$A$4:$A$303,$J6,Dados_Mercado!$B$4:$B$303,$G6,Dados_Mercado!$D$4:$D$303,$I6))</x:f>
      </x:c>
      <x:c r="U6" s="151" t="str">
        <x:f>IF(OR(S6="",T6="",S6=0),"",(T6-S6)/S6*100)</x:f>
      </x:c>
      <x:c r="V6" s="150" t="str">
        <x:f>IF(B6="factual",M6,IF(B6="calculation",O6,IF(B6="comparison",IF(E6="","",IF(AND(F6&lt;&gt;"",G6&lt;&gt;""),IF(O6&gt;=R6,IF(O6&gt;=U6,E6,G6),IF(R6&gt;=U6,F6,G6)),IF(F6&lt;&gt;"",IF(O6&gt;=R6,E6,F6),E6))),"")))</x:f>
      </x:c>
      <x:c r="W6" s="150" t="str"/>
      <x:c r="X6" s="152" t="n">
        <x:v>0.01</x:v>
      </x:c>
      <x:c r="Y6" s="150" t="str"/>
      <x:c r="Z6" s="150" t="str"/>
      <x:c r="AA6" s="150" t="str"/>
      <x:c r="AB6" s="150" t="str"/>
      <x:c r="AC6" s="153" t="str">
        <x:v>Rascunho</x:v>
      </x:c>
    </x:row>
    <x:row r="7">
      <x:c r="A7" s="86" t="str">
        <x:v>Q004</x:v>
      </x:c>
      <x:c r="B7" s="87" t="str">
        <x:v>factual</x:v>
      </x:c>
      <x:c r="C7" s="87" t="str">
        <x:v>Média</x:v>
      </x:c>
      <x:c r="D7" s="87" t="str"/>
      <x:c r="E7" s="87" t="str"/>
      <x:c r="F7" s="87" t="str"/>
      <x:c r="G7" s="87" t="str"/>
      <x:c r="H7" s="111" t="str"/>
      <x:c r="I7" s="111" t="str"/>
      <x:c r="J7" s="87" t="str"/>
      <x:c r="K7" s="150" t="str"/>
      <x:c r="L7" s="150" t="str">
        <x:v>numeric</x:v>
      </x:c>
      <x:c r="M7" s="151" t="str">
        <x:f>IF(OR($J7="",$E7="",$H7=""),"",SUMIFS(Dados_Mercado!$H$4:$H$303,Dados_Mercado!$A$4:$A$303,$J7,Dados_Mercado!$B$4:$B$303,$E7,Dados_Mercado!$D$4:$D$303,$H7))</x:f>
      </x:c>
      <x:c r="N7" s="151" t="str">
        <x:f>IF(OR($J7="",$E7="",$I7=""),"",SUMIFS(Dados_Mercado!$H$4:$H$303,Dados_Mercado!$A$4:$A$303,$J7,Dados_Mercado!$B$4:$B$303,$E7,Dados_Mercado!$D$4:$D$303,$I7))</x:f>
      </x:c>
      <x:c r="O7" s="151" t="str">
        <x:f>IF(OR(M7="",N7="",M7=0),"",(N7-M7)/M7*100)</x:f>
      </x:c>
      <x:c r="P7" s="151" t="str">
        <x:f>IF(OR($J7="",$F7="",$H7=""),"",SUMIFS(Dados_Mercado!$H$4:$H$303,Dados_Mercado!$A$4:$A$303,$J7,Dados_Mercado!$B$4:$B$303,$F7,Dados_Mercado!$D$4:$D$303,$H7))</x:f>
      </x:c>
      <x:c r="Q7" s="151" t="str">
        <x:f>IF(OR($J7="",$F7="",$I7=""),"",SUMIFS(Dados_Mercado!$H$4:$H$303,Dados_Mercado!$A$4:$A$303,$J7,Dados_Mercado!$B$4:$B$303,$F7,Dados_Mercado!$D$4:$D$303,$I7))</x:f>
      </x:c>
      <x:c r="R7" s="151" t="str">
        <x:f>IF(OR(P7="",Q7="",P7=0),"",(Q7-P7)/P7*100)</x:f>
      </x:c>
      <x:c r="S7" s="151" t="str">
        <x:f>IF(OR($J7="",$G7="",$H7=""),"",SUMIFS(Dados_Mercado!$H$4:$H$303,Dados_Mercado!$A$4:$A$303,$J7,Dados_Mercado!$B$4:$B$303,$G7,Dados_Mercado!$D$4:$D$303,$H7))</x:f>
      </x:c>
      <x:c r="T7" s="151" t="str">
        <x:f>IF(OR($J7="",$G7="",$I7=""),"",SUMIFS(Dados_Mercado!$H$4:$H$303,Dados_Mercado!$A$4:$A$303,$J7,Dados_Mercado!$B$4:$B$303,$G7,Dados_Mercado!$D$4:$D$303,$I7))</x:f>
      </x:c>
      <x:c r="U7" s="151" t="str">
        <x:f>IF(OR(S7="",T7="",S7=0),"",(T7-S7)/S7*100)</x:f>
      </x:c>
      <x:c r="V7" s="150" t="str">
        <x:f>IF(B7="factual",M7,IF(B7="calculation",O7,IF(B7="comparison",IF(E7="","",IF(AND(F7&lt;&gt;"",G7&lt;&gt;""),IF(O7&gt;=R7,IF(O7&gt;=U7,E7,G7),IF(R7&gt;=U7,F7,G7)),IF(F7&lt;&gt;"",IF(O7&gt;=R7,E7,F7),E7))),"")))</x:f>
      </x:c>
      <x:c r="W7" s="150" t="str"/>
      <x:c r="X7" s="152" t="n">
        <x:v>0.01</x:v>
      </x:c>
      <x:c r="Y7" s="150" t="str"/>
      <x:c r="Z7" s="150" t="str"/>
      <x:c r="AA7" s="150" t="str"/>
      <x:c r="AB7" s="150" t="str"/>
      <x:c r="AC7" s="153" t="str">
        <x:v>Rascunho</x:v>
      </x:c>
    </x:row>
    <x:row r="8">
      <x:c r="A8" s="86" t="str">
        <x:v>Q005</x:v>
      </x:c>
      <x:c r="B8" s="87" t="str">
        <x:v>factual</x:v>
      </x:c>
      <x:c r="C8" s="87" t="str">
        <x:v>Difícil</x:v>
      </x:c>
      <x:c r="D8" s="87" t="str"/>
      <x:c r="E8" s="87" t="str"/>
      <x:c r="F8" s="87" t="str"/>
      <x:c r="G8" s="87" t="str"/>
      <x:c r="H8" s="111" t="str"/>
      <x:c r="I8" s="111" t="str"/>
      <x:c r="J8" s="87" t="str"/>
      <x:c r="K8" s="150" t="str"/>
      <x:c r="L8" s="150" t="str">
        <x:v>numeric</x:v>
      </x:c>
      <x:c r="M8" s="151" t="str">
        <x:f>IF(OR($J8="",$E8="",$H8=""),"",SUMIFS(Dados_Mercado!$H$4:$H$303,Dados_Mercado!$A$4:$A$303,$J8,Dados_Mercado!$B$4:$B$303,$E8,Dados_Mercado!$D$4:$D$303,$H8))</x:f>
      </x:c>
      <x:c r="N8" s="151" t="str">
        <x:f>IF(OR($J8="",$E8="",$I8=""),"",SUMIFS(Dados_Mercado!$H$4:$H$303,Dados_Mercado!$A$4:$A$303,$J8,Dados_Mercado!$B$4:$B$303,$E8,Dados_Mercado!$D$4:$D$303,$I8))</x:f>
      </x:c>
      <x:c r="O8" s="151" t="str">
        <x:f>IF(OR(M8="",N8="",M8=0),"",(N8-M8)/M8*100)</x:f>
      </x:c>
      <x:c r="P8" s="151" t="str">
        <x:f>IF(OR($J8="",$F8="",$H8=""),"",SUMIFS(Dados_Mercado!$H$4:$H$303,Dados_Mercado!$A$4:$A$303,$J8,Dados_Mercado!$B$4:$B$303,$F8,Dados_Mercado!$D$4:$D$303,$H8))</x:f>
      </x:c>
      <x:c r="Q8" s="151" t="str">
        <x:f>IF(OR($J8="",$F8="",$I8=""),"",SUMIFS(Dados_Mercado!$H$4:$H$303,Dados_Mercado!$A$4:$A$303,$J8,Dados_Mercado!$B$4:$B$303,$F8,Dados_Mercado!$D$4:$D$303,$I8))</x:f>
      </x:c>
      <x:c r="R8" s="151" t="str">
        <x:f>IF(OR(P8="",Q8="",P8=0),"",(Q8-P8)/P8*100)</x:f>
      </x:c>
      <x:c r="S8" s="151" t="str">
        <x:f>IF(OR($J8="",$G8="",$H8=""),"",SUMIFS(Dados_Mercado!$H$4:$H$303,Dados_Mercado!$A$4:$A$303,$J8,Dados_Mercado!$B$4:$B$303,$G8,Dados_Mercado!$D$4:$D$303,$H8))</x:f>
      </x:c>
      <x:c r="T8" s="151" t="str">
        <x:f>IF(OR($J8="",$G8="",$I8=""),"",SUMIFS(Dados_Mercado!$H$4:$H$303,Dados_Mercado!$A$4:$A$303,$J8,Dados_Mercado!$B$4:$B$303,$G8,Dados_Mercado!$D$4:$D$303,$I8))</x:f>
      </x:c>
      <x:c r="U8" s="151" t="str">
        <x:f>IF(OR(S8="",T8="",S8=0),"",(T8-S8)/S8*100)</x:f>
      </x:c>
      <x:c r="V8" s="150" t="str">
        <x:f>IF(B8="factual",M8,IF(B8="calculation",O8,IF(B8="comparison",IF(E8="","",IF(AND(F8&lt;&gt;"",G8&lt;&gt;""),IF(O8&gt;=R8,IF(O8&gt;=U8,E8,G8),IF(R8&gt;=U8,F8,G8)),IF(F8&lt;&gt;"",IF(O8&gt;=R8,E8,F8),E8))),"")))</x:f>
      </x:c>
      <x:c r="W8" s="150" t="str"/>
      <x:c r="X8" s="152" t="n">
        <x:v>0.01</x:v>
      </x:c>
      <x:c r="Y8" s="150" t="str"/>
      <x:c r="Z8" s="150" t="str"/>
      <x:c r="AA8" s="150" t="str"/>
      <x:c r="AB8" s="150" t="str"/>
      <x:c r="AC8" s="153" t="str">
        <x:v>Rascunho</x:v>
      </x:c>
    </x:row>
    <x:row r="9">
      <x:c r="A9" s="86" t="str">
        <x:v>Q006</x:v>
      </x:c>
      <x:c r="B9" s="87" t="str">
        <x:v>factual</x:v>
      </x:c>
      <x:c r="C9" s="87" t="str">
        <x:v>Difícil</x:v>
      </x:c>
      <x:c r="D9" s="87" t="str"/>
      <x:c r="E9" s="87" t="str"/>
      <x:c r="F9" s="87" t="str"/>
      <x:c r="G9" s="87" t="str"/>
      <x:c r="H9" s="111" t="str"/>
      <x:c r="I9" s="111" t="str"/>
      <x:c r="J9" s="87" t="str"/>
      <x:c r="K9" s="150" t="str"/>
      <x:c r="L9" s="150" t="str">
        <x:v>numeric</x:v>
      </x:c>
      <x:c r="M9" s="151" t="str">
        <x:f>IF(OR($J9="",$E9="",$H9=""),"",SUMIFS(Dados_Mercado!$H$4:$H$303,Dados_Mercado!$A$4:$A$303,$J9,Dados_Mercado!$B$4:$B$303,$E9,Dados_Mercado!$D$4:$D$303,$H9))</x:f>
      </x:c>
      <x:c r="N9" s="151" t="str">
        <x:f>IF(OR($J9="",$E9="",$I9=""),"",SUMIFS(Dados_Mercado!$H$4:$H$303,Dados_Mercado!$A$4:$A$303,$J9,Dados_Mercado!$B$4:$B$303,$E9,Dados_Mercado!$D$4:$D$303,$I9))</x:f>
      </x:c>
      <x:c r="O9" s="151" t="str">
        <x:f>IF(OR(M9="",N9="",M9=0),"",(N9-M9)/M9*100)</x:f>
      </x:c>
      <x:c r="P9" s="151" t="str">
        <x:f>IF(OR($J9="",$F9="",$H9=""),"",SUMIFS(Dados_Mercado!$H$4:$H$303,Dados_Mercado!$A$4:$A$303,$J9,Dados_Mercado!$B$4:$B$303,$F9,Dados_Mercado!$D$4:$D$303,$H9))</x:f>
      </x:c>
      <x:c r="Q9" s="151" t="str">
        <x:f>IF(OR($J9="",$F9="",$I9=""),"",SUMIFS(Dados_Mercado!$H$4:$H$303,Dados_Mercado!$A$4:$A$303,$J9,Dados_Mercado!$B$4:$B$303,$F9,Dados_Mercado!$D$4:$D$303,$I9))</x:f>
      </x:c>
      <x:c r="R9" s="151" t="str">
        <x:f>IF(OR(P9="",Q9="",P9=0),"",(Q9-P9)/P9*100)</x:f>
      </x:c>
      <x:c r="S9" s="151" t="str">
        <x:f>IF(OR($J9="",$G9="",$H9=""),"",SUMIFS(Dados_Mercado!$H$4:$H$303,Dados_Mercado!$A$4:$A$303,$J9,Dados_Mercado!$B$4:$B$303,$G9,Dados_Mercado!$D$4:$D$303,$H9))</x:f>
      </x:c>
      <x:c r="T9" s="151" t="str">
        <x:f>IF(OR($J9="",$G9="",$I9=""),"",SUMIFS(Dados_Mercado!$H$4:$H$303,Dados_Mercado!$A$4:$A$303,$J9,Dados_Mercado!$B$4:$B$303,$G9,Dados_Mercado!$D$4:$D$303,$I9))</x:f>
      </x:c>
      <x:c r="U9" s="151" t="str">
        <x:f>IF(OR(S9="",T9="",S9=0),"",(T9-S9)/S9*100)</x:f>
      </x:c>
      <x:c r="V9" s="150" t="str">
        <x:f>IF(B9="factual",M9,IF(B9="calculation",O9,IF(B9="comparison",IF(E9="","",IF(AND(F9&lt;&gt;"",G9&lt;&gt;""),IF(O9&gt;=R9,IF(O9&gt;=U9,E9,G9),IF(R9&gt;=U9,F9,G9)),IF(F9&lt;&gt;"",IF(O9&gt;=R9,E9,F9),E9))),"")))</x:f>
      </x:c>
      <x:c r="W9" s="150" t="str"/>
      <x:c r="X9" s="152" t="n">
        <x:v>0.01</x:v>
      </x:c>
      <x:c r="Y9" s="150" t="str"/>
      <x:c r="Z9" s="150" t="str"/>
      <x:c r="AA9" s="150" t="str"/>
      <x:c r="AB9" s="150" t="str"/>
      <x:c r="AC9" s="153" t="str">
        <x:v>Rascunho</x:v>
      </x:c>
    </x:row>
    <x:row r="10">
      <x:c r="A10" s="86" t="str">
        <x:v>Q007</x:v>
      </x:c>
      <x:c r="B10" s="87" t="str">
        <x:v>calculation</x:v>
      </x:c>
      <x:c r="C10" s="87" t="str">
        <x:v>Fácil</x:v>
      </x:c>
      <x:c r="D10" s="87" t="str"/>
      <x:c r="E10" s="87" t="str"/>
      <x:c r="F10" s="87" t="str"/>
      <x:c r="G10" s="87" t="str"/>
      <x:c r="H10" s="111" t="str"/>
      <x:c r="I10" s="111" t="str"/>
      <x:c r="J10" s="87" t="str"/>
      <x:c r="K10" s="150" t="str"/>
      <x:c r="L10" s="150" t="str">
        <x:v>percentage</x:v>
      </x:c>
      <x:c r="M10" s="151" t="str">
        <x:f>IF(OR($J10="",$E10="",$H10=""),"",SUMIFS(Dados_Mercado!$H$4:$H$303,Dados_Mercado!$A$4:$A$303,$J10,Dados_Mercado!$B$4:$B$303,$E10,Dados_Mercado!$D$4:$D$303,$H10))</x:f>
      </x:c>
      <x:c r="N10" s="151" t="str">
        <x:f>IF(OR($J10="",$E10="",$I10=""),"",SUMIFS(Dados_Mercado!$H$4:$H$303,Dados_Mercado!$A$4:$A$303,$J10,Dados_Mercado!$B$4:$B$303,$E10,Dados_Mercado!$D$4:$D$303,$I10))</x:f>
      </x:c>
      <x:c r="O10" s="151" t="str">
        <x:f>IF(OR(M10="",N10="",M10=0),"",(N10-M10)/M10*100)</x:f>
      </x:c>
      <x:c r="P10" s="151" t="str">
        <x:f>IF(OR($J10="",$F10="",$H10=""),"",SUMIFS(Dados_Mercado!$H$4:$H$303,Dados_Mercado!$A$4:$A$303,$J10,Dados_Mercado!$B$4:$B$303,$F10,Dados_Mercado!$D$4:$D$303,$H10))</x:f>
      </x:c>
      <x:c r="Q10" s="151" t="str">
        <x:f>IF(OR($J10="",$F10="",$I10=""),"",SUMIFS(Dados_Mercado!$H$4:$H$303,Dados_Mercado!$A$4:$A$303,$J10,Dados_Mercado!$B$4:$B$303,$F10,Dados_Mercado!$D$4:$D$303,$I10))</x:f>
      </x:c>
      <x:c r="R10" s="151" t="str">
        <x:f>IF(OR(P10="",Q10="",P10=0),"",(Q10-P10)/P10*100)</x:f>
      </x:c>
      <x:c r="S10" s="151" t="str">
        <x:f>IF(OR($J10="",$G10="",$H10=""),"",SUMIFS(Dados_Mercado!$H$4:$H$303,Dados_Mercado!$A$4:$A$303,$J10,Dados_Mercado!$B$4:$B$303,$G10,Dados_Mercado!$D$4:$D$303,$H10))</x:f>
      </x:c>
      <x:c r="T10" s="151" t="str">
        <x:f>IF(OR($J10="",$G10="",$I10=""),"",SUMIFS(Dados_Mercado!$H$4:$H$303,Dados_Mercado!$A$4:$A$303,$J10,Dados_Mercado!$B$4:$B$303,$G10,Dados_Mercado!$D$4:$D$303,$I10))</x:f>
      </x:c>
      <x:c r="U10" s="151" t="str">
        <x:f>IF(OR(S10="",T10="",S10=0),"",(T10-S10)/S10*100)</x:f>
      </x:c>
      <x:c r="V10" s="150" t="str">
        <x:f>IF(B10="factual",M10,IF(B10="calculation",O10,IF(B10="comparison",IF(E10="","",IF(AND(F10&lt;&gt;"",G10&lt;&gt;""),IF(O10&gt;=R10,IF(O10&gt;=U10,E10,G10),IF(R10&gt;=U10,F10,G10)),IF(F10&lt;&gt;"",IF(O10&gt;=R10,E10,F10),E10))),"")))</x:f>
      </x:c>
      <x:c r="W10" s="150" t="str"/>
      <x:c r="X10" s="152" t="n">
        <x:v>0.01</x:v>
      </x:c>
      <x:c r="Y10" s="150" t="str"/>
      <x:c r="Z10" s="150" t="str"/>
      <x:c r="AA10" s="150" t="str"/>
      <x:c r="AB10" s="150" t="str"/>
      <x:c r="AC10" s="153" t="str">
        <x:v>Rascunho</x:v>
      </x:c>
    </x:row>
    <x:row r="11">
      <x:c r="A11" s="86" t="str">
        <x:v>Q008</x:v>
      </x:c>
      <x:c r="B11" s="87" t="str">
        <x:v>calculation</x:v>
      </x:c>
      <x:c r="C11" s="87" t="str">
        <x:v>Fácil</x:v>
      </x:c>
      <x:c r="D11" s="87" t="str"/>
      <x:c r="E11" s="87" t="str"/>
      <x:c r="F11" s="87" t="str"/>
      <x:c r="G11" s="87" t="str"/>
      <x:c r="H11" s="111" t="str"/>
      <x:c r="I11" s="111" t="str"/>
      <x:c r="J11" s="87" t="str"/>
      <x:c r="K11" s="150" t="str"/>
      <x:c r="L11" s="150" t="str">
        <x:v>percentage</x:v>
      </x:c>
      <x:c r="M11" s="151" t="str">
        <x:f>IF(OR($J11="",$E11="",$H11=""),"",SUMIFS(Dados_Mercado!$H$4:$H$303,Dados_Mercado!$A$4:$A$303,$J11,Dados_Mercado!$B$4:$B$303,$E11,Dados_Mercado!$D$4:$D$303,$H11))</x:f>
      </x:c>
      <x:c r="N11" s="151" t="str">
        <x:f>IF(OR($J11="",$E11="",$I11=""),"",SUMIFS(Dados_Mercado!$H$4:$H$303,Dados_Mercado!$A$4:$A$303,$J11,Dados_Mercado!$B$4:$B$303,$E11,Dados_Mercado!$D$4:$D$303,$I11))</x:f>
      </x:c>
      <x:c r="O11" s="151" t="str">
        <x:f>IF(OR(M11="",N11="",M11=0),"",(N11-M11)/M11*100)</x:f>
      </x:c>
      <x:c r="P11" s="151" t="str">
        <x:f>IF(OR($J11="",$F11="",$H11=""),"",SUMIFS(Dados_Mercado!$H$4:$H$303,Dados_Mercado!$A$4:$A$303,$J11,Dados_Mercado!$B$4:$B$303,$F11,Dados_Mercado!$D$4:$D$303,$H11))</x:f>
      </x:c>
      <x:c r="Q11" s="151" t="str">
        <x:f>IF(OR($J11="",$F11="",$I11=""),"",SUMIFS(Dados_Mercado!$H$4:$H$303,Dados_Mercado!$A$4:$A$303,$J11,Dados_Mercado!$B$4:$B$303,$F11,Dados_Mercado!$D$4:$D$303,$I11))</x:f>
      </x:c>
      <x:c r="R11" s="151" t="str">
        <x:f>IF(OR(P11="",Q11="",P11=0),"",(Q11-P11)/P11*100)</x:f>
      </x:c>
      <x:c r="S11" s="151" t="str">
        <x:f>IF(OR($J11="",$G11="",$H11=""),"",SUMIFS(Dados_Mercado!$H$4:$H$303,Dados_Mercado!$A$4:$A$303,$J11,Dados_Mercado!$B$4:$B$303,$G11,Dados_Mercado!$D$4:$D$303,$H11))</x:f>
      </x:c>
      <x:c r="T11" s="151" t="str">
        <x:f>IF(OR($J11="",$G11="",$I11=""),"",SUMIFS(Dados_Mercado!$H$4:$H$303,Dados_Mercado!$A$4:$A$303,$J11,Dados_Mercado!$B$4:$B$303,$G11,Dados_Mercado!$D$4:$D$303,$I11))</x:f>
      </x:c>
      <x:c r="U11" s="151" t="str">
        <x:f>IF(OR(S11="",T11="",S11=0),"",(T11-S11)/S11*100)</x:f>
      </x:c>
      <x:c r="V11" s="150" t="str">
        <x:f>IF(B11="factual",M11,IF(B11="calculation",O11,IF(B11="comparison",IF(E11="","",IF(AND(F11&lt;&gt;"",G11&lt;&gt;""),IF(O11&gt;=R11,IF(O11&gt;=U11,E11,G11),IF(R11&gt;=U11,F11,G11)),IF(F11&lt;&gt;"",IF(O11&gt;=R11,E11,F11),E11))),"")))</x:f>
      </x:c>
      <x:c r="W11" s="150" t="str"/>
      <x:c r="X11" s="152" t="n">
        <x:v>0.01</x:v>
      </x:c>
      <x:c r="Y11" s="150" t="str"/>
      <x:c r="Z11" s="150" t="str"/>
      <x:c r="AA11" s="150" t="str"/>
      <x:c r="AB11" s="150" t="str"/>
      <x:c r="AC11" s="153" t="str">
        <x:v>Rascunho</x:v>
      </x:c>
    </x:row>
    <x:row r="12">
      <x:c r="A12" s="86" t="str">
        <x:v>Q009</x:v>
      </x:c>
      <x:c r="B12" s="87" t="str">
        <x:v>calculation</x:v>
      </x:c>
      <x:c r="C12" s="87" t="str">
        <x:v>Média</x:v>
      </x:c>
      <x:c r="D12" s="87" t="str"/>
      <x:c r="E12" s="87" t="str"/>
      <x:c r="F12" s="87" t="str"/>
      <x:c r="G12" s="87" t="str"/>
      <x:c r="H12" s="111" t="str"/>
      <x:c r="I12" s="111" t="str"/>
      <x:c r="J12" s="87" t="str"/>
      <x:c r="K12" s="150" t="str"/>
      <x:c r="L12" s="150" t="str">
        <x:v>percentage</x:v>
      </x:c>
      <x:c r="M12" s="151" t="str">
        <x:f>IF(OR($J12="",$E12="",$H12=""),"",SUMIFS(Dados_Mercado!$H$4:$H$303,Dados_Mercado!$A$4:$A$303,$J12,Dados_Mercado!$B$4:$B$303,$E12,Dados_Mercado!$D$4:$D$303,$H12))</x:f>
      </x:c>
      <x:c r="N12" s="151" t="str">
        <x:f>IF(OR($J12="",$E12="",$I12=""),"",SUMIFS(Dados_Mercado!$H$4:$H$303,Dados_Mercado!$A$4:$A$303,$J12,Dados_Mercado!$B$4:$B$303,$E12,Dados_Mercado!$D$4:$D$303,$I12))</x:f>
      </x:c>
      <x:c r="O12" s="151" t="str">
        <x:f>IF(OR(M12="",N12="",M12=0),"",(N12-M12)/M12*100)</x:f>
      </x:c>
      <x:c r="P12" s="151" t="str">
        <x:f>IF(OR($J12="",$F12="",$H12=""),"",SUMIFS(Dados_Mercado!$H$4:$H$303,Dados_Mercado!$A$4:$A$303,$J12,Dados_Mercado!$B$4:$B$303,$F12,Dados_Mercado!$D$4:$D$303,$H12))</x:f>
      </x:c>
      <x:c r="Q12" s="151" t="str">
        <x:f>IF(OR($J12="",$F12="",$I12=""),"",SUMIFS(Dados_Mercado!$H$4:$H$303,Dados_Mercado!$A$4:$A$303,$J12,Dados_Mercado!$B$4:$B$303,$F12,Dados_Mercado!$D$4:$D$303,$I12))</x:f>
      </x:c>
      <x:c r="R12" s="151" t="str">
        <x:f>IF(OR(P12="",Q12="",P12=0),"",(Q12-P12)/P12*100)</x:f>
      </x:c>
      <x:c r="S12" s="151" t="str">
        <x:f>IF(OR($J12="",$G12="",$H12=""),"",SUMIFS(Dados_Mercado!$H$4:$H$303,Dados_Mercado!$A$4:$A$303,$J12,Dados_Mercado!$B$4:$B$303,$G12,Dados_Mercado!$D$4:$D$303,$H12))</x:f>
      </x:c>
      <x:c r="T12" s="151" t="str">
        <x:f>IF(OR($J12="",$G12="",$I12=""),"",SUMIFS(Dados_Mercado!$H$4:$H$303,Dados_Mercado!$A$4:$A$303,$J12,Dados_Mercado!$B$4:$B$303,$G12,Dados_Mercado!$D$4:$D$303,$I12))</x:f>
      </x:c>
      <x:c r="U12" s="151" t="str">
        <x:f>IF(OR(S12="",T12="",S12=0),"",(T12-S12)/S12*100)</x:f>
      </x:c>
      <x:c r="V12" s="150" t="str">
        <x:f>IF(B12="factual",M12,IF(B12="calculation",O12,IF(B12="comparison",IF(E12="","",IF(AND(F12&lt;&gt;"",G12&lt;&gt;""),IF(O12&gt;=R12,IF(O12&gt;=U12,E12,G12),IF(R12&gt;=U12,F12,G12)),IF(F12&lt;&gt;"",IF(O12&gt;=R12,E12,F12),E12))),"")))</x:f>
      </x:c>
      <x:c r="W12" s="150" t="str"/>
      <x:c r="X12" s="152" t="n">
        <x:v>0.01</x:v>
      </x:c>
      <x:c r="Y12" s="150" t="str"/>
      <x:c r="Z12" s="150" t="str"/>
      <x:c r="AA12" s="150" t="str"/>
      <x:c r="AB12" s="150" t="str"/>
      <x:c r="AC12" s="153" t="str">
        <x:v>Rascunho</x:v>
      </x:c>
    </x:row>
    <x:row r="13">
      <x:c r="A13" s="86" t="str">
        <x:v>Q010</x:v>
      </x:c>
      <x:c r="B13" s="87" t="str">
        <x:v>calculation</x:v>
      </x:c>
      <x:c r="C13" s="87" t="str">
        <x:v>Média</x:v>
      </x:c>
      <x:c r="D13" s="87" t="str"/>
      <x:c r="E13" s="87" t="str"/>
      <x:c r="F13" s="87" t="str"/>
      <x:c r="G13" s="87" t="str"/>
      <x:c r="H13" s="111" t="str"/>
      <x:c r="I13" s="111" t="str"/>
      <x:c r="J13" s="87" t="str"/>
      <x:c r="K13" s="150" t="str"/>
      <x:c r="L13" s="150" t="str">
        <x:v>percentage</x:v>
      </x:c>
      <x:c r="M13" s="151" t="str">
        <x:f>IF(OR($J13="",$E13="",$H13=""),"",SUMIFS(Dados_Mercado!$H$4:$H$303,Dados_Mercado!$A$4:$A$303,$J13,Dados_Mercado!$B$4:$B$303,$E13,Dados_Mercado!$D$4:$D$303,$H13))</x:f>
      </x:c>
      <x:c r="N13" s="151" t="str">
        <x:f>IF(OR($J13="",$E13="",$I13=""),"",SUMIFS(Dados_Mercado!$H$4:$H$303,Dados_Mercado!$A$4:$A$303,$J13,Dados_Mercado!$B$4:$B$303,$E13,Dados_Mercado!$D$4:$D$303,$I13))</x:f>
      </x:c>
      <x:c r="O13" s="151" t="str">
        <x:f>IF(OR(M13="",N13="",M13=0),"",(N13-M13)/M13*100)</x:f>
      </x:c>
      <x:c r="P13" s="151" t="str">
        <x:f>IF(OR($J13="",$F13="",$H13=""),"",SUMIFS(Dados_Mercado!$H$4:$H$303,Dados_Mercado!$A$4:$A$303,$J13,Dados_Mercado!$B$4:$B$303,$F13,Dados_Mercado!$D$4:$D$303,$H13))</x:f>
      </x:c>
      <x:c r="Q13" s="151" t="str">
        <x:f>IF(OR($J13="",$F13="",$I13=""),"",SUMIFS(Dados_Mercado!$H$4:$H$303,Dados_Mercado!$A$4:$A$303,$J13,Dados_Mercado!$B$4:$B$303,$F13,Dados_Mercado!$D$4:$D$303,$I13))</x:f>
      </x:c>
      <x:c r="R13" s="151" t="str">
        <x:f>IF(OR(P13="",Q13="",P13=0),"",(Q13-P13)/P13*100)</x:f>
      </x:c>
      <x:c r="S13" s="151" t="str">
        <x:f>IF(OR($J13="",$G13="",$H13=""),"",SUMIFS(Dados_Mercado!$H$4:$H$303,Dados_Mercado!$A$4:$A$303,$J13,Dados_Mercado!$B$4:$B$303,$G13,Dados_Mercado!$D$4:$D$303,$H13))</x:f>
      </x:c>
      <x:c r="T13" s="151" t="str">
        <x:f>IF(OR($J13="",$G13="",$I13=""),"",SUMIFS(Dados_Mercado!$H$4:$H$303,Dados_Mercado!$A$4:$A$303,$J13,Dados_Mercado!$B$4:$B$303,$G13,Dados_Mercado!$D$4:$D$303,$I13))</x:f>
      </x:c>
      <x:c r="U13" s="151" t="str">
        <x:f>IF(OR(S13="",T13="",S13=0),"",(T13-S13)/S13*100)</x:f>
      </x:c>
      <x:c r="V13" s="150" t="str">
        <x:f>IF(B13="factual",M13,IF(B13="calculation",O13,IF(B13="comparison",IF(E13="","",IF(AND(F13&lt;&gt;"",G13&lt;&gt;""),IF(O13&gt;=R13,IF(O13&gt;=U13,E13,G13),IF(R13&gt;=U13,F13,G13)),IF(F13&lt;&gt;"",IF(O13&gt;=R13,E13,F13),E13))),"")))</x:f>
      </x:c>
      <x:c r="W13" s="150" t="str"/>
      <x:c r="X13" s="152" t="n">
        <x:v>0.01</x:v>
      </x:c>
      <x:c r="Y13" s="150" t="str"/>
      <x:c r="Z13" s="150" t="str"/>
      <x:c r="AA13" s="150" t="str"/>
      <x:c r="AB13" s="150" t="str"/>
      <x:c r="AC13" s="153" t="str">
        <x:v>Rascunho</x:v>
      </x:c>
    </x:row>
    <x:row r="14">
      <x:c r="A14" s="86" t="str">
        <x:v>Q011</x:v>
      </x:c>
      <x:c r="B14" s="87" t="str">
        <x:v>calculation</x:v>
      </x:c>
      <x:c r="C14" s="87" t="str">
        <x:v>Difícil</x:v>
      </x:c>
      <x:c r="D14" s="87" t="str"/>
      <x:c r="E14" s="87" t="str"/>
      <x:c r="F14" s="87" t="str"/>
      <x:c r="G14" s="87" t="str"/>
      <x:c r="H14" s="111" t="str"/>
      <x:c r="I14" s="111" t="str"/>
      <x:c r="J14" s="87" t="str"/>
      <x:c r="K14" s="150" t="str"/>
      <x:c r="L14" s="150" t="str">
        <x:v>percentage</x:v>
      </x:c>
      <x:c r="M14" s="151" t="str">
        <x:f>IF(OR($J14="",$E14="",$H14=""),"",SUMIFS(Dados_Mercado!$H$4:$H$303,Dados_Mercado!$A$4:$A$303,$J14,Dados_Mercado!$B$4:$B$303,$E14,Dados_Mercado!$D$4:$D$303,$H14))</x:f>
      </x:c>
      <x:c r="N14" s="151" t="str">
        <x:f>IF(OR($J14="",$E14="",$I14=""),"",SUMIFS(Dados_Mercado!$H$4:$H$303,Dados_Mercado!$A$4:$A$303,$J14,Dados_Mercado!$B$4:$B$303,$E14,Dados_Mercado!$D$4:$D$303,$I14))</x:f>
      </x:c>
      <x:c r="O14" s="151" t="str">
        <x:f>IF(OR(M14="",N14="",M14=0),"",(N14-M14)/M14*100)</x:f>
      </x:c>
      <x:c r="P14" s="151" t="str">
        <x:f>IF(OR($J14="",$F14="",$H14=""),"",SUMIFS(Dados_Mercado!$H$4:$H$303,Dados_Mercado!$A$4:$A$303,$J14,Dados_Mercado!$B$4:$B$303,$F14,Dados_Mercado!$D$4:$D$303,$H14))</x:f>
      </x:c>
      <x:c r="Q14" s="151" t="str">
        <x:f>IF(OR($J14="",$F14="",$I14=""),"",SUMIFS(Dados_Mercado!$H$4:$H$303,Dados_Mercado!$A$4:$A$303,$J14,Dados_Mercado!$B$4:$B$303,$F14,Dados_Mercado!$D$4:$D$303,$I14))</x:f>
      </x:c>
      <x:c r="R14" s="151" t="str">
        <x:f>IF(OR(P14="",Q14="",P14=0),"",(Q14-P14)/P14*100)</x:f>
      </x:c>
      <x:c r="S14" s="151" t="str">
        <x:f>IF(OR($J14="",$G14="",$H14=""),"",SUMIFS(Dados_Mercado!$H$4:$H$303,Dados_Mercado!$A$4:$A$303,$J14,Dados_Mercado!$B$4:$B$303,$G14,Dados_Mercado!$D$4:$D$303,$H14))</x:f>
      </x:c>
      <x:c r="T14" s="151" t="str">
        <x:f>IF(OR($J14="",$G14="",$I14=""),"",SUMIFS(Dados_Mercado!$H$4:$H$303,Dados_Mercado!$A$4:$A$303,$J14,Dados_Mercado!$B$4:$B$303,$G14,Dados_Mercado!$D$4:$D$303,$I14))</x:f>
      </x:c>
      <x:c r="U14" s="151" t="str">
        <x:f>IF(OR(S14="",T14="",S14=0),"",(T14-S14)/S14*100)</x:f>
      </x:c>
      <x:c r="V14" s="150" t="str">
        <x:f>IF(B14="factual",M14,IF(B14="calculation",O14,IF(B14="comparison",IF(E14="","",IF(AND(F14&lt;&gt;"",G14&lt;&gt;""),IF(O14&gt;=R14,IF(O14&gt;=U14,E14,G14),IF(R14&gt;=U14,F14,G14)),IF(F14&lt;&gt;"",IF(O14&gt;=R14,E14,F14),E14))),"")))</x:f>
      </x:c>
      <x:c r="W14" s="150" t="str"/>
      <x:c r="X14" s="152" t="n">
        <x:v>0.01</x:v>
      </x:c>
      <x:c r="Y14" s="150" t="str"/>
      <x:c r="Z14" s="150" t="str"/>
      <x:c r="AA14" s="150" t="str"/>
      <x:c r="AB14" s="150" t="str"/>
      <x:c r="AC14" s="153" t="str">
        <x:v>Rascunho</x:v>
      </x:c>
    </x:row>
    <x:row r="15">
      <x:c r="A15" s="86" t="str">
        <x:v>Q012</x:v>
      </x:c>
      <x:c r="B15" s="87" t="str">
        <x:v>calculation</x:v>
      </x:c>
      <x:c r="C15" s="87" t="str">
        <x:v>Difícil</x:v>
      </x:c>
      <x:c r="D15" s="87" t="str"/>
      <x:c r="E15" s="87" t="str"/>
      <x:c r="F15" s="87" t="str"/>
      <x:c r="G15" s="87" t="str"/>
      <x:c r="H15" s="111" t="str"/>
      <x:c r="I15" s="111" t="str"/>
      <x:c r="J15" s="87" t="str"/>
      <x:c r="K15" s="150" t="str"/>
      <x:c r="L15" s="150" t="str">
        <x:v>percentage</x:v>
      </x:c>
      <x:c r="M15" s="151" t="str">
        <x:f>IF(OR($J15="",$E15="",$H15=""),"",SUMIFS(Dados_Mercado!$H$4:$H$303,Dados_Mercado!$A$4:$A$303,$J15,Dados_Mercado!$B$4:$B$303,$E15,Dados_Mercado!$D$4:$D$303,$H15))</x:f>
      </x:c>
      <x:c r="N15" s="151" t="str">
        <x:f>IF(OR($J15="",$E15="",$I15=""),"",SUMIFS(Dados_Mercado!$H$4:$H$303,Dados_Mercado!$A$4:$A$303,$J15,Dados_Mercado!$B$4:$B$303,$E15,Dados_Mercado!$D$4:$D$303,$I15))</x:f>
      </x:c>
      <x:c r="O15" s="151" t="str">
        <x:f>IF(OR(M15="",N15="",M15=0),"",(N15-M15)/M15*100)</x:f>
      </x:c>
      <x:c r="P15" s="151" t="str">
        <x:f>IF(OR($J15="",$F15="",$H15=""),"",SUMIFS(Dados_Mercado!$H$4:$H$303,Dados_Mercado!$A$4:$A$303,$J15,Dados_Mercado!$B$4:$B$303,$F15,Dados_Mercado!$D$4:$D$303,$H15))</x:f>
      </x:c>
      <x:c r="Q15" s="151" t="str">
        <x:f>IF(OR($J15="",$F15="",$I15=""),"",SUMIFS(Dados_Mercado!$H$4:$H$303,Dados_Mercado!$A$4:$A$303,$J15,Dados_Mercado!$B$4:$B$303,$F15,Dados_Mercado!$D$4:$D$303,$I15))</x:f>
      </x:c>
      <x:c r="R15" s="151" t="str">
        <x:f>IF(OR(P15="",Q15="",P15=0),"",(Q15-P15)/P15*100)</x:f>
      </x:c>
      <x:c r="S15" s="151" t="str">
        <x:f>IF(OR($J15="",$G15="",$H15=""),"",SUMIFS(Dados_Mercado!$H$4:$H$303,Dados_Mercado!$A$4:$A$303,$J15,Dados_Mercado!$B$4:$B$303,$G15,Dados_Mercado!$D$4:$D$303,$H15))</x:f>
      </x:c>
      <x:c r="T15" s="151" t="str">
        <x:f>IF(OR($J15="",$G15="",$I15=""),"",SUMIFS(Dados_Mercado!$H$4:$H$303,Dados_Mercado!$A$4:$A$303,$J15,Dados_Mercado!$B$4:$B$303,$G15,Dados_Mercado!$D$4:$D$303,$I15))</x:f>
      </x:c>
      <x:c r="U15" s="151" t="str">
        <x:f>IF(OR(S15="",T15="",S15=0),"",(T15-S15)/S15*100)</x:f>
      </x:c>
      <x:c r="V15" s="150" t="str">
        <x:f>IF(B15="factual",M15,IF(B15="calculation",O15,IF(B15="comparison",IF(E15="","",IF(AND(F15&lt;&gt;"",G15&lt;&gt;""),IF(O15&gt;=R15,IF(O15&gt;=U15,E15,G15),IF(R15&gt;=U15,F15,G15)),IF(F15&lt;&gt;"",IF(O15&gt;=R15,E15,F15),E15))),"")))</x:f>
      </x:c>
      <x:c r="W15" s="150" t="str"/>
      <x:c r="X15" s="152" t="n">
        <x:v>0.01</x:v>
      </x:c>
      <x:c r="Y15" s="150" t="str"/>
      <x:c r="Z15" s="150" t="str"/>
      <x:c r="AA15" s="150" t="str"/>
      <x:c r="AB15" s="150" t="str"/>
      <x:c r="AC15" s="153" t="str">
        <x:v>Rascunho</x:v>
      </x:c>
    </x:row>
    <x:row r="16">
      <x:c r="A16" s="86" t="str">
        <x:v>Q013</x:v>
      </x:c>
      <x:c r="B16" s="87" t="str">
        <x:v>comparison</x:v>
      </x:c>
      <x:c r="C16" s="87" t="str">
        <x:v>Fácil</x:v>
      </x:c>
      <x:c r="D16" s="87" t="str"/>
      <x:c r="E16" s="87" t="str"/>
      <x:c r="F16" s="87" t="str"/>
      <x:c r="G16" s="87" t="str"/>
      <x:c r="H16" s="111" t="str"/>
      <x:c r="I16" s="111" t="str"/>
      <x:c r="J16" s="87" t="str"/>
      <x:c r="K16" s="150" t="str"/>
      <x:c r="L16" s="150" t="str">
        <x:v>percentage</x:v>
      </x:c>
      <x:c r="M16" s="151" t="str">
        <x:f>IF(OR($J16="",$E16="",$H16=""),"",SUMIFS(Dados_Mercado!$H$4:$H$303,Dados_Mercado!$A$4:$A$303,$J16,Dados_Mercado!$B$4:$B$303,$E16,Dados_Mercado!$D$4:$D$303,$H16))</x:f>
      </x:c>
      <x:c r="N16" s="151" t="str">
        <x:f>IF(OR($J16="",$E16="",$I16=""),"",SUMIFS(Dados_Mercado!$H$4:$H$303,Dados_Mercado!$A$4:$A$303,$J16,Dados_Mercado!$B$4:$B$303,$E16,Dados_Mercado!$D$4:$D$303,$I16))</x:f>
      </x:c>
      <x:c r="O16" s="151" t="str">
        <x:f>IF(OR(M16="",N16="",M16=0),"",(N16-M16)/M16*100)</x:f>
      </x:c>
      <x:c r="P16" s="151" t="str">
        <x:f>IF(OR($J16="",$F16="",$H16=""),"",SUMIFS(Dados_Mercado!$H$4:$H$303,Dados_Mercado!$A$4:$A$303,$J16,Dados_Mercado!$B$4:$B$303,$F16,Dados_Mercado!$D$4:$D$303,$H16))</x:f>
      </x:c>
      <x:c r="Q16" s="151" t="str">
        <x:f>IF(OR($J16="",$F16="",$I16=""),"",SUMIFS(Dados_Mercado!$H$4:$H$303,Dados_Mercado!$A$4:$A$303,$J16,Dados_Mercado!$B$4:$B$303,$F16,Dados_Mercado!$D$4:$D$303,$I16))</x:f>
      </x:c>
      <x:c r="R16" s="151" t="str">
        <x:f>IF(OR(P16="",Q16="",P16=0),"",(Q16-P16)/P16*100)</x:f>
      </x:c>
      <x:c r="S16" s="151" t="str">
        <x:f>IF(OR($J16="",$G16="",$H16=""),"",SUMIFS(Dados_Mercado!$H$4:$H$303,Dados_Mercado!$A$4:$A$303,$J16,Dados_Mercado!$B$4:$B$303,$G16,Dados_Mercado!$D$4:$D$303,$H16))</x:f>
      </x:c>
      <x:c r="T16" s="151" t="str">
        <x:f>IF(OR($J16="",$G16="",$I16=""),"",SUMIFS(Dados_Mercado!$H$4:$H$303,Dados_Mercado!$A$4:$A$303,$J16,Dados_Mercado!$B$4:$B$303,$G16,Dados_Mercado!$D$4:$D$303,$I16))</x:f>
      </x:c>
      <x:c r="U16" s="151" t="str">
        <x:f>IF(OR(S16="",T16="",S16=0),"",(T16-S16)/S16*100)</x:f>
      </x:c>
      <x:c r="V16" s="150" t="str">
        <x:f>IF(B16="factual",M16,IF(B16="calculation",O16,IF(B16="comparison",IF(E16="","",IF(AND(F16&lt;&gt;"",G16&lt;&gt;""),IF(O16&gt;=R16,IF(O16&gt;=U16,E16,G16),IF(R16&gt;=U16,F16,G16)),IF(F16&lt;&gt;"",IF(O16&gt;=R16,E16,F16),E16))),"")))</x:f>
      </x:c>
      <x:c r="W16" s="150" t="str"/>
      <x:c r="X16" s="152" t="n">
        <x:v>0.01</x:v>
      </x:c>
      <x:c r="Y16" s="150" t="str"/>
      <x:c r="Z16" s="150" t="str"/>
      <x:c r="AA16" s="150" t="str"/>
      <x:c r="AB16" s="150" t="str"/>
      <x:c r="AC16" s="153" t="str">
        <x:v>Rascunho</x:v>
      </x:c>
    </x:row>
    <x:row r="17">
      <x:c r="A17" s="86" t="str">
        <x:v>Q014</x:v>
      </x:c>
      <x:c r="B17" s="87" t="str">
        <x:v>comparison</x:v>
      </x:c>
      <x:c r="C17" s="87" t="str">
        <x:v>Fácil</x:v>
      </x:c>
      <x:c r="D17" s="87" t="str"/>
      <x:c r="E17" s="87" t="str"/>
      <x:c r="F17" s="87" t="str"/>
      <x:c r="G17" s="87" t="str"/>
      <x:c r="H17" s="111" t="str"/>
      <x:c r="I17" s="111" t="str"/>
      <x:c r="J17" s="87" t="str"/>
      <x:c r="K17" s="150" t="str"/>
      <x:c r="L17" s="150" t="str">
        <x:v>percentage</x:v>
      </x:c>
      <x:c r="M17" s="151" t="str">
        <x:f>IF(OR($J17="",$E17="",$H17=""),"",SUMIFS(Dados_Mercado!$H$4:$H$303,Dados_Mercado!$A$4:$A$303,$J17,Dados_Mercado!$B$4:$B$303,$E17,Dados_Mercado!$D$4:$D$303,$H17))</x:f>
      </x:c>
      <x:c r="N17" s="151" t="str">
        <x:f>IF(OR($J17="",$E17="",$I17=""),"",SUMIFS(Dados_Mercado!$H$4:$H$303,Dados_Mercado!$A$4:$A$303,$J17,Dados_Mercado!$B$4:$B$303,$E17,Dados_Mercado!$D$4:$D$303,$I17))</x:f>
      </x:c>
      <x:c r="O17" s="151" t="str">
        <x:f>IF(OR(M17="",N17="",M17=0),"",(N17-M17)/M17*100)</x:f>
      </x:c>
      <x:c r="P17" s="151" t="str">
        <x:f>IF(OR($J17="",$F17="",$H17=""),"",SUMIFS(Dados_Mercado!$H$4:$H$303,Dados_Mercado!$A$4:$A$303,$J17,Dados_Mercado!$B$4:$B$303,$F17,Dados_Mercado!$D$4:$D$303,$H17))</x:f>
      </x:c>
      <x:c r="Q17" s="151" t="str">
        <x:f>IF(OR($J17="",$F17="",$I17=""),"",SUMIFS(Dados_Mercado!$H$4:$H$303,Dados_Mercado!$A$4:$A$303,$J17,Dados_Mercado!$B$4:$B$303,$F17,Dados_Mercado!$D$4:$D$303,$I17))</x:f>
      </x:c>
      <x:c r="R17" s="151" t="str">
        <x:f>IF(OR(P17="",Q17="",P17=0),"",(Q17-P17)/P17*100)</x:f>
      </x:c>
      <x:c r="S17" s="151" t="str">
        <x:f>IF(OR($J17="",$G17="",$H17=""),"",SUMIFS(Dados_Mercado!$H$4:$H$303,Dados_Mercado!$A$4:$A$303,$J17,Dados_Mercado!$B$4:$B$303,$G17,Dados_Mercado!$D$4:$D$303,$H17))</x:f>
      </x:c>
      <x:c r="T17" s="151" t="str">
        <x:f>IF(OR($J17="",$G17="",$I17=""),"",SUMIFS(Dados_Mercado!$H$4:$H$303,Dados_Mercado!$A$4:$A$303,$J17,Dados_Mercado!$B$4:$B$303,$G17,Dados_Mercado!$D$4:$D$303,$I17))</x:f>
      </x:c>
      <x:c r="U17" s="151" t="str">
        <x:f>IF(OR(S17="",T17="",S17=0),"",(T17-S17)/S17*100)</x:f>
      </x:c>
      <x:c r="V17" s="150" t="str">
        <x:f>IF(B17="factual",M17,IF(B17="calculation",O17,IF(B17="comparison",IF(E17="","",IF(AND(F17&lt;&gt;"",G17&lt;&gt;""),IF(O17&gt;=R17,IF(O17&gt;=U17,E17,G17),IF(R17&gt;=U17,F17,G17)),IF(F17&lt;&gt;"",IF(O17&gt;=R17,E17,F17),E17))),"")))</x:f>
      </x:c>
      <x:c r="W17" s="150" t="str"/>
      <x:c r="X17" s="152" t="n">
        <x:v>0.01</x:v>
      </x:c>
      <x:c r="Y17" s="150" t="str"/>
      <x:c r="Z17" s="150" t="str"/>
      <x:c r="AA17" s="150" t="str"/>
      <x:c r="AB17" s="150" t="str"/>
      <x:c r="AC17" s="153" t="str">
        <x:v>Rascunho</x:v>
      </x:c>
    </x:row>
    <x:row r="18">
      <x:c r="A18" s="86" t="str">
        <x:v>Q015</x:v>
      </x:c>
      <x:c r="B18" s="87" t="str">
        <x:v>comparison</x:v>
      </x:c>
      <x:c r="C18" s="87" t="str">
        <x:v>Média</x:v>
      </x:c>
      <x:c r="D18" s="87" t="str"/>
      <x:c r="E18" s="87" t="str"/>
      <x:c r="F18" s="87" t="str"/>
      <x:c r="G18" s="87" t="str"/>
      <x:c r="H18" s="111" t="str"/>
      <x:c r="I18" s="111" t="str"/>
      <x:c r="J18" s="87" t="str"/>
      <x:c r="K18" s="150" t="str"/>
      <x:c r="L18" s="150" t="str">
        <x:v>percentage</x:v>
      </x:c>
      <x:c r="M18" s="151" t="str">
        <x:f>IF(OR($J18="",$E18="",$H18=""),"",SUMIFS(Dados_Mercado!$H$4:$H$303,Dados_Mercado!$A$4:$A$303,$J18,Dados_Mercado!$B$4:$B$303,$E18,Dados_Mercado!$D$4:$D$303,$H18))</x:f>
      </x:c>
      <x:c r="N18" s="151" t="str">
        <x:f>IF(OR($J18="",$E18="",$I18=""),"",SUMIFS(Dados_Mercado!$H$4:$H$303,Dados_Mercado!$A$4:$A$303,$J18,Dados_Mercado!$B$4:$B$303,$E18,Dados_Mercado!$D$4:$D$303,$I18))</x:f>
      </x:c>
      <x:c r="O18" s="151" t="str">
        <x:f>IF(OR(M18="",N18="",M18=0),"",(N18-M18)/M18*100)</x:f>
      </x:c>
      <x:c r="P18" s="151" t="str">
        <x:f>IF(OR($J18="",$F18="",$H18=""),"",SUMIFS(Dados_Mercado!$H$4:$H$303,Dados_Mercado!$A$4:$A$303,$J18,Dados_Mercado!$B$4:$B$303,$F18,Dados_Mercado!$D$4:$D$303,$H18))</x:f>
      </x:c>
      <x:c r="Q18" s="151" t="str">
        <x:f>IF(OR($J18="",$F18="",$I18=""),"",SUMIFS(Dados_Mercado!$H$4:$H$303,Dados_Mercado!$A$4:$A$303,$J18,Dados_Mercado!$B$4:$B$303,$F18,Dados_Mercado!$D$4:$D$303,$I18))</x:f>
      </x:c>
      <x:c r="R18" s="151" t="str">
        <x:f>IF(OR(P18="",Q18="",P18=0),"",(Q18-P18)/P18*100)</x:f>
      </x:c>
      <x:c r="S18" s="151" t="str">
        <x:f>IF(OR($J18="",$G18="",$H18=""),"",SUMIFS(Dados_Mercado!$H$4:$H$303,Dados_Mercado!$A$4:$A$303,$J18,Dados_Mercado!$B$4:$B$303,$G18,Dados_Mercado!$D$4:$D$303,$H18))</x:f>
      </x:c>
      <x:c r="T18" s="151" t="str">
        <x:f>IF(OR($J18="",$G18="",$I18=""),"",SUMIFS(Dados_Mercado!$H$4:$H$303,Dados_Mercado!$A$4:$A$303,$J18,Dados_Mercado!$B$4:$B$303,$G18,Dados_Mercado!$D$4:$D$303,$I18))</x:f>
      </x:c>
      <x:c r="U18" s="151" t="str">
        <x:f>IF(OR(S18="",T18="",S18=0),"",(T18-S18)/S18*100)</x:f>
      </x:c>
      <x:c r="V18" s="150" t="str">
        <x:f>IF(B18="factual",M18,IF(B18="calculation",O18,IF(B18="comparison",IF(E18="","",IF(AND(F18&lt;&gt;"",G18&lt;&gt;""),IF(O18&gt;=R18,IF(O18&gt;=U18,E18,G18),IF(R18&gt;=U18,F18,G18)),IF(F18&lt;&gt;"",IF(O18&gt;=R18,E18,F18),E18))),"")))</x:f>
      </x:c>
      <x:c r="W18" s="150" t="str"/>
      <x:c r="X18" s="152" t="n">
        <x:v>0.01</x:v>
      </x:c>
      <x:c r="Y18" s="150" t="str"/>
      <x:c r="Z18" s="150" t="str"/>
      <x:c r="AA18" s="150" t="str"/>
      <x:c r="AB18" s="150" t="str"/>
      <x:c r="AC18" s="153" t="str">
        <x:v>Rascunho</x:v>
      </x:c>
    </x:row>
    <x:row r="19">
      <x:c r="A19" s="86" t="str">
        <x:v>Q016</x:v>
      </x:c>
      <x:c r="B19" s="87" t="str">
        <x:v>comparison</x:v>
      </x:c>
      <x:c r="C19" s="87" t="str">
        <x:v>Média</x:v>
      </x:c>
      <x:c r="D19" s="87" t="str"/>
      <x:c r="E19" s="87" t="str"/>
      <x:c r="F19" s="87" t="str"/>
      <x:c r="G19" s="87" t="str"/>
      <x:c r="H19" s="111" t="str"/>
      <x:c r="I19" s="111" t="str"/>
      <x:c r="J19" s="87" t="str"/>
      <x:c r="K19" s="150" t="str"/>
      <x:c r="L19" s="150" t="str">
        <x:v>percentage</x:v>
      </x:c>
      <x:c r="M19" s="151" t="str">
        <x:f>IF(OR($J19="",$E19="",$H19=""),"",SUMIFS(Dados_Mercado!$H$4:$H$303,Dados_Mercado!$A$4:$A$303,$J19,Dados_Mercado!$B$4:$B$303,$E19,Dados_Mercado!$D$4:$D$303,$H19))</x:f>
      </x:c>
      <x:c r="N19" s="151" t="str">
        <x:f>IF(OR($J19="",$E19="",$I19=""),"",SUMIFS(Dados_Mercado!$H$4:$H$303,Dados_Mercado!$A$4:$A$303,$J19,Dados_Mercado!$B$4:$B$303,$E19,Dados_Mercado!$D$4:$D$303,$I19))</x:f>
      </x:c>
      <x:c r="O19" s="151" t="str">
        <x:f>IF(OR(M19="",N19="",M19=0),"",(N19-M19)/M19*100)</x:f>
      </x:c>
      <x:c r="P19" s="151" t="str">
        <x:f>IF(OR($J19="",$F19="",$H19=""),"",SUMIFS(Dados_Mercado!$H$4:$H$303,Dados_Mercado!$A$4:$A$303,$J19,Dados_Mercado!$B$4:$B$303,$F19,Dados_Mercado!$D$4:$D$303,$H19))</x:f>
      </x:c>
      <x:c r="Q19" s="151" t="str">
        <x:f>IF(OR($J19="",$F19="",$I19=""),"",SUMIFS(Dados_Mercado!$H$4:$H$303,Dados_Mercado!$A$4:$A$303,$J19,Dados_Mercado!$B$4:$B$303,$F19,Dados_Mercado!$D$4:$D$303,$I19))</x:f>
      </x:c>
      <x:c r="R19" s="151" t="str">
        <x:f>IF(OR(P19="",Q19="",P19=0),"",(Q19-P19)/P19*100)</x:f>
      </x:c>
      <x:c r="S19" s="151" t="str">
        <x:f>IF(OR($J19="",$G19="",$H19=""),"",SUMIFS(Dados_Mercado!$H$4:$H$303,Dados_Mercado!$A$4:$A$303,$J19,Dados_Mercado!$B$4:$B$303,$G19,Dados_Mercado!$D$4:$D$303,$H19))</x:f>
      </x:c>
      <x:c r="T19" s="151" t="str">
        <x:f>IF(OR($J19="",$G19="",$I19=""),"",SUMIFS(Dados_Mercado!$H$4:$H$303,Dados_Mercado!$A$4:$A$303,$J19,Dados_Mercado!$B$4:$B$303,$G19,Dados_Mercado!$D$4:$D$303,$I19))</x:f>
      </x:c>
      <x:c r="U19" s="151" t="str">
        <x:f>IF(OR(S19="",T19="",S19=0),"",(T19-S19)/S19*100)</x:f>
      </x:c>
      <x:c r="V19" s="150" t="str">
        <x:f>IF(B19="factual",M19,IF(B19="calculation",O19,IF(B19="comparison",IF(E19="","",IF(AND(F19&lt;&gt;"",G19&lt;&gt;""),IF(O19&gt;=R19,IF(O19&gt;=U19,E19,G19),IF(R19&gt;=U19,F19,G19)),IF(F19&lt;&gt;"",IF(O19&gt;=R19,E19,F19),E19))),"")))</x:f>
      </x:c>
      <x:c r="W19" s="150" t="str"/>
      <x:c r="X19" s="152" t="n">
        <x:v>0.01</x:v>
      </x:c>
      <x:c r="Y19" s="150" t="str"/>
      <x:c r="Z19" s="150" t="str"/>
      <x:c r="AA19" s="150" t="str"/>
      <x:c r="AB19" s="150" t="str"/>
      <x:c r="AC19" s="153" t="str">
        <x:v>Rascunho</x:v>
      </x:c>
    </x:row>
    <x:row r="20">
      <x:c r="A20" s="86" t="str">
        <x:v>Q017</x:v>
      </x:c>
      <x:c r="B20" s="87" t="str">
        <x:v>comparison</x:v>
      </x:c>
      <x:c r="C20" s="87" t="str">
        <x:v>Difícil</x:v>
      </x:c>
      <x:c r="D20" s="87" t="str"/>
      <x:c r="E20" s="87" t="str"/>
      <x:c r="F20" s="87" t="str"/>
      <x:c r="G20" s="87" t="str"/>
      <x:c r="H20" s="111" t="str"/>
      <x:c r="I20" s="111" t="str"/>
      <x:c r="J20" s="87" t="str"/>
      <x:c r="K20" s="150" t="str"/>
      <x:c r="L20" s="150" t="str">
        <x:v>percentage</x:v>
      </x:c>
      <x:c r="M20" s="151" t="str">
        <x:f>IF(OR($J20="",$E20="",$H20=""),"",SUMIFS(Dados_Mercado!$H$4:$H$303,Dados_Mercado!$A$4:$A$303,$J20,Dados_Mercado!$B$4:$B$303,$E20,Dados_Mercado!$D$4:$D$303,$H20))</x:f>
      </x:c>
      <x:c r="N20" s="151" t="str">
        <x:f>IF(OR($J20="",$E20="",$I20=""),"",SUMIFS(Dados_Mercado!$H$4:$H$303,Dados_Mercado!$A$4:$A$303,$J20,Dados_Mercado!$B$4:$B$303,$E20,Dados_Mercado!$D$4:$D$303,$I20))</x:f>
      </x:c>
      <x:c r="O20" s="151" t="str">
        <x:f>IF(OR(M20="",N20="",M20=0),"",(N20-M20)/M20*100)</x:f>
      </x:c>
      <x:c r="P20" s="151" t="str">
        <x:f>IF(OR($J20="",$F20="",$H20=""),"",SUMIFS(Dados_Mercado!$H$4:$H$303,Dados_Mercado!$A$4:$A$303,$J20,Dados_Mercado!$B$4:$B$303,$F20,Dados_Mercado!$D$4:$D$303,$H20))</x:f>
      </x:c>
      <x:c r="Q20" s="151" t="str">
        <x:f>IF(OR($J20="",$F20="",$I20=""),"",SUMIFS(Dados_Mercado!$H$4:$H$303,Dados_Mercado!$A$4:$A$303,$J20,Dados_Mercado!$B$4:$B$303,$F20,Dados_Mercado!$D$4:$D$303,$I20))</x:f>
      </x:c>
      <x:c r="R20" s="151" t="str">
        <x:f>IF(OR(P20="",Q20="",P20=0),"",(Q20-P20)/P20*100)</x:f>
      </x:c>
      <x:c r="S20" s="151" t="str">
        <x:f>IF(OR($J20="",$G20="",$H20=""),"",SUMIFS(Dados_Mercado!$H$4:$H$303,Dados_Mercado!$A$4:$A$303,$J20,Dados_Mercado!$B$4:$B$303,$G20,Dados_Mercado!$D$4:$D$303,$H20))</x:f>
      </x:c>
      <x:c r="T20" s="151" t="str">
        <x:f>IF(OR($J20="",$G20="",$I20=""),"",SUMIFS(Dados_Mercado!$H$4:$H$303,Dados_Mercado!$A$4:$A$303,$J20,Dados_Mercado!$B$4:$B$303,$G20,Dados_Mercado!$D$4:$D$303,$I20))</x:f>
      </x:c>
      <x:c r="U20" s="151" t="str">
        <x:f>IF(OR(S20="",T20="",S20=0),"",(T20-S20)/S20*100)</x:f>
      </x:c>
      <x:c r="V20" s="150" t="str">
        <x:f>IF(B20="factual",M20,IF(B20="calculation",O20,IF(B20="comparison",IF(E20="","",IF(AND(F20&lt;&gt;"",G20&lt;&gt;""),IF(O20&gt;=R20,IF(O20&gt;=U20,E20,G20),IF(R20&gt;=U20,F20,G20)),IF(F20&lt;&gt;"",IF(O20&gt;=R20,E20,F20),E20))),"")))</x:f>
      </x:c>
      <x:c r="W20" s="150" t="str"/>
      <x:c r="X20" s="152" t="n">
        <x:v>0.01</x:v>
      </x:c>
      <x:c r="Y20" s="150" t="str"/>
      <x:c r="Z20" s="150" t="str"/>
      <x:c r="AA20" s="150" t="str"/>
      <x:c r="AB20" s="150" t="str"/>
      <x:c r="AC20" s="153" t="str">
        <x:v>Rascunho</x:v>
      </x:c>
    </x:row>
    <x:row r="21">
      <x:c r="A21" s="86" t="str">
        <x:v>Q018</x:v>
      </x:c>
      <x:c r="B21" s="87" t="str">
        <x:v>comparison</x:v>
      </x:c>
      <x:c r="C21" s="87" t="str">
        <x:v>Difícil</x:v>
      </x:c>
      <x:c r="D21" s="87" t="str"/>
      <x:c r="E21" s="87" t="str"/>
      <x:c r="F21" s="87" t="str"/>
      <x:c r="G21" s="87" t="str"/>
      <x:c r="H21" s="111" t="str"/>
      <x:c r="I21" s="111" t="str"/>
      <x:c r="J21" s="87" t="str"/>
      <x:c r="K21" s="150" t="str"/>
      <x:c r="L21" s="150" t="str">
        <x:v>percentage</x:v>
      </x:c>
      <x:c r="M21" s="151" t="str">
        <x:f>IF(OR($J21="",$E21="",$H21=""),"",SUMIFS(Dados_Mercado!$H$4:$H$303,Dados_Mercado!$A$4:$A$303,$J21,Dados_Mercado!$B$4:$B$303,$E21,Dados_Mercado!$D$4:$D$303,$H21))</x:f>
      </x:c>
      <x:c r="N21" s="151" t="str">
        <x:f>IF(OR($J21="",$E21="",$I21=""),"",SUMIFS(Dados_Mercado!$H$4:$H$303,Dados_Mercado!$A$4:$A$303,$J21,Dados_Mercado!$B$4:$B$303,$E21,Dados_Mercado!$D$4:$D$303,$I21))</x:f>
      </x:c>
      <x:c r="O21" s="151" t="str">
        <x:f>IF(OR(M21="",N21="",M21=0),"",(N21-M21)/M21*100)</x:f>
      </x:c>
      <x:c r="P21" s="151" t="str">
        <x:f>IF(OR($J21="",$F21="",$H21=""),"",SUMIFS(Dados_Mercado!$H$4:$H$303,Dados_Mercado!$A$4:$A$303,$J21,Dados_Mercado!$B$4:$B$303,$F21,Dados_Mercado!$D$4:$D$303,$H21))</x:f>
      </x:c>
      <x:c r="Q21" s="151" t="str">
        <x:f>IF(OR($J21="",$F21="",$I21=""),"",SUMIFS(Dados_Mercado!$H$4:$H$303,Dados_Mercado!$A$4:$A$303,$J21,Dados_Mercado!$B$4:$B$303,$F21,Dados_Mercado!$D$4:$D$303,$I21))</x:f>
      </x:c>
      <x:c r="R21" s="151" t="str">
        <x:f>IF(OR(P21="",Q21="",P21=0),"",(Q21-P21)/P21*100)</x:f>
      </x:c>
      <x:c r="S21" s="151" t="str">
        <x:f>IF(OR($J21="",$G21="",$H21=""),"",SUMIFS(Dados_Mercado!$H$4:$H$303,Dados_Mercado!$A$4:$A$303,$J21,Dados_Mercado!$B$4:$B$303,$G21,Dados_Mercado!$D$4:$D$303,$H21))</x:f>
      </x:c>
      <x:c r="T21" s="151" t="str">
        <x:f>IF(OR($J21="",$G21="",$I21=""),"",SUMIFS(Dados_Mercado!$H$4:$H$303,Dados_Mercado!$A$4:$A$303,$J21,Dados_Mercado!$B$4:$B$303,$G21,Dados_Mercado!$D$4:$D$303,$I21))</x:f>
      </x:c>
      <x:c r="U21" s="151" t="str">
        <x:f>IF(OR(S21="",T21="",S21=0),"",(T21-S21)/S21*100)</x:f>
      </x:c>
      <x:c r="V21" s="150" t="str">
        <x:f>IF(B21="factual",M21,IF(B21="calculation",O21,IF(B21="comparison",IF(E21="","",IF(AND(F21&lt;&gt;"",G21&lt;&gt;""),IF(O21&gt;=R21,IF(O21&gt;=U21,E21,G21),IF(R21&gt;=U21,F21,G21)),IF(F21&lt;&gt;"",IF(O21&gt;=R21,E21,F21),E21))),"")))</x:f>
      </x:c>
      <x:c r="W21" s="150" t="str"/>
      <x:c r="X21" s="152" t="n">
        <x:v>0.01</x:v>
      </x:c>
      <x:c r="Y21" s="150" t="str"/>
      <x:c r="Z21" s="150" t="str"/>
      <x:c r="AA21" s="150" t="str"/>
      <x:c r="AB21" s="150" t="str"/>
      <x:c r="AC21" s="153" t="str">
        <x:v>Rascunho</x:v>
      </x:c>
    </x:row>
    <x:row r="22">
      <x:c r="A22" s="86" t="str">
        <x:v>Q019</x:v>
      </x:c>
      <x:c r="B22" s="87" t="str">
        <x:v>interpretation</x:v>
      </x:c>
      <x:c r="C22" s="87" t="str">
        <x:v>Fácil</x:v>
      </x:c>
      <x:c r="D22" s="87" t="str"/>
      <x:c r="E22" s="87" t="str"/>
      <x:c r="F22" s="87" t="str"/>
      <x:c r="G22" s="87" t="str"/>
      <x:c r="H22" s="111" t="str"/>
      <x:c r="I22" s="111" t="str"/>
      <x:c r="J22" s="87" t="str"/>
      <x:c r="K22" s="150" t="str"/>
      <x:c r="L22" s="150" t="str">
        <x:v>rubric</x:v>
      </x:c>
      <x:c r="M22" s="151" t="str">
        <x:f>IF(OR($J22="",$E22="",$H22=""),"",SUMIFS(Dados_Mercado!$H$4:$H$303,Dados_Mercado!$A$4:$A$303,$J22,Dados_Mercado!$B$4:$B$303,$E22,Dados_Mercado!$D$4:$D$303,$H22))</x:f>
      </x:c>
      <x:c r="N22" s="151" t="str">
        <x:f>IF(OR($J22="",$E22="",$I22=""),"",SUMIFS(Dados_Mercado!$H$4:$H$303,Dados_Mercado!$A$4:$A$303,$J22,Dados_Mercado!$B$4:$B$303,$E22,Dados_Mercado!$D$4:$D$303,$I22))</x:f>
      </x:c>
      <x:c r="O22" s="151" t="str">
        <x:f>IF(OR(M22="",N22="",M22=0),"",(N22-M22)/M22*100)</x:f>
      </x:c>
      <x:c r="P22" s="151" t="str">
        <x:f>IF(OR($J22="",$F22="",$H22=""),"",SUMIFS(Dados_Mercado!$H$4:$H$303,Dados_Mercado!$A$4:$A$303,$J22,Dados_Mercado!$B$4:$B$303,$F22,Dados_Mercado!$D$4:$D$303,$H22))</x:f>
      </x:c>
      <x:c r="Q22" s="151" t="str">
        <x:f>IF(OR($J22="",$F22="",$I22=""),"",SUMIFS(Dados_Mercado!$H$4:$H$303,Dados_Mercado!$A$4:$A$303,$J22,Dados_Mercado!$B$4:$B$303,$F22,Dados_Mercado!$D$4:$D$303,$I22))</x:f>
      </x:c>
      <x:c r="R22" s="151" t="str">
        <x:f>IF(OR(P22="",Q22="",P22=0),"",(Q22-P22)/P22*100)</x:f>
      </x:c>
      <x:c r="S22" s="151" t="str">
        <x:f>IF(OR($J22="",$G22="",$H22=""),"",SUMIFS(Dados_Mercado!$H$4:$H$303,Dados_Mercado!$A$4:$A$303,$J22,Dados_Mercado!$B$4:$B$303,$G22,Dados_Mercado!$D$4:$D$303,$H22))</x:f>
      </x:c>
      <x:c r="T22" s="151" t="str">
        <x:f>IF(OR($J22="",$G22="",$I22=""),"",SUMIFS(Dados_Mercado!$H$4:$H$303,Dados_Mercado!$A$4:$A$303,$J22,Dados_Mercado!$B$4:$B$303,$G22,Dados_Mercado!$D$4:$D$303,$I22))</x:f>
      </x:c>
      <x:c r="U22" s="151" t="str">
        <x:f>IF(OR(S22="",T22="",S22=0),"",(T22-S22)/S22*100)</x:f>
      </x:c>
      <x:c r="V22" s="150" t="str">
        <x:f>IF(B22="factual",M22,IF(B22="calculation",O22,IF(B22="comparison",IF(E22="","",IF(AND(F22&lt;&gt;"",G22&lt;&gt;""),IF(O22&gt;=R22,IF(O22&gt;=U22,E22,G22),IF(R22&gt;=U22,F22,G22)),IF(F22&lt;&gt;"",IF(O22&gt;=R22,E22,F22),E22))),"")))</x:f>
      </x:c>
      <x:c r="W22" s="150" t="str"/>
      <x:c r="X22" s="152" t="str"/>
      <x:c r="Y22" s="150" t="str"/>
      <x:c r="Z22" s="150" t="str"/>
      <x:c r="AA22" s="150" t="str"/>
      <x:c r="AB22" s="150" t="str"/>
      <x:c r="AC22" s="153" t="str">
        <x:v>Rascunho</x:v>
      </x:c>
    </x:row>
    <x:row r="23">
      <x:c r="A23" s="86" t="str">
        <x:v>Q020</x:v>
      </x:c>
      <x:c r="B23" s="87" t="str">
        <x:v>interpretation</x:v>
      </x:c>
      <x:c r="C23" s="87" t="str">
        <x:v>Fácil</x:v>
      </x:c>
      <x:c r="D23" s="87" t="str"/>
      <x:c r="E23" s="87" t="str"/>
      <x:c r="F23" s="87" t="str"/>
      <x:c r="G23" s="87" t="str"/>
      <x:c r="H23" s="111" t="str"/>
      <x:c r="I23" s="111" t="str"/>
      <x:c r="J23" s="87" t="str"/>
      <x:c r="K23" s="150" t="str"/>
      <x:c r="L23" s="150" t="str">
        <x:v>rubric</x:v>
      </x:c>
      <x:c r="M23" s="151" t="str">
        <x:f>IF(OR($J23="",$E23="",$H23=""),"",SUMIFS(Dados_Mercado!$H$4:$H$303,Dados_Mercado!$A$4:$A$303,$J23,Dados_Mercado!$B$4:$B$303,$E23,Dados_Mercado!$D$4:$D$303,$H23))</x:f>
      </x:c>
      <x:c r="N23" s="151" t="str">
        <x:f>IF(OR($J23="",$E23="",$I23=""),"",SUMIFS(Dados_Mercado!$H$4:$H$303,Dados_Mercado!$A$4:$A$303,$J23,Dados_Mercado!$B$4:$B$303,$E23,Dados_Mercado!$D$4:$D$303,$I23))</x:f>
      </x:c>
      <x:c r="O23" s="151" t="str">
        <x:f>IF(OR(M23="",N23="",M23=0),"",(N23-M23)/M23*100)</x:f>
      </x:c>
      <x:c r="P23" s="151" t="str">
        <x:f>IF(OR($J23="",$F23="",$H23=""),"",SUMIFS(Dados_Mercado!$H$4:$H$303,Dados_Mercado!$A$4:$A$303,$J23,Dados_Mercado!$B$4:$B$303,$F23,Dados_Mercado!$D$4:$D$303,$H23))</x:f>
      </x:c>
      <x:c r="Q23" s="151" t="str">
        <x:f>IF(OR($J23="",$F23="",$I23=""),"",SUMIFS(Dados_Mercado!$H$4:$H$303,Dados_Mercado!$A$4:$A$303,$J23,Dados_Mercado!$B$4:$B$303,$F23,Dados_Mercado!$D$4:$D$303,$I23))</x:f>
      </x:c>
      <x:c r="R23" s="151" t="str">
        <x:f>IF(OR(P23="",Q23="",P23=0),"",(Q23-P23)/P23*100)</x:f>
      </x:c>
      <x:c r="S23" s="151" t="str">
        <x:f>IF(OR($J23="",$G23="",$H23=""),"",SUMIFS(Dados_Mercado!$H$4:$H$303,Dados_Mercado!$A$4:$A$303,$J23,Dados_Mercado!$B$4:$B$303,$G23,Dados_Mercado!$D$4:$D$303,$H23))</x:f>
      </x:c>
      <x:c r="T23" s="151" t="str">
        <x:f>IF(OR($J23="",$G23="",$I23=""),"",SUMIFS(Dados_Mercado!$H$4:$H$303,Dados_Mercado!$A$4:$A$303,$J23,Dados_Mercado!$B$4:$B$303,$G23,Dados_Mercado!$D$4:$D$303,$I23))</x:f>
      </x:c>
      <x:c r="U23" s="151" t="str">
        <x:f>IF(OR(S23="",T23="",S23=0),"",(T23-S23)/S23*100)</x:f>
      </x:c>
      <x:c r="V23" s="150" t="str">
        <x:f>IF(B23="factual",M23,IF(B23="calculation",O23,IF(B23="comparison",IF(E23="","",IF(AND(F23&lt;&gt;"",G23&lt;&gt;""),IF(O23&gt;=R23,IF(O23&gt;=U23,E23,G23),IF(R23&gt;=U23,F23,G23)),IF(F23&lt;&gt;"",IF(O23&gt;=R23,E23,F23),E23))),"")))</x:f>
      </x:c>
      <x:c r="W23" s="150" t="str"/>
      <x:c r="X23" s="152" t="str"/>
      <x:c r="Y23" s="150" t="str"/>
      <x:c r="Z23" s="150" t="str"/>
      <x:c r="AA23" s="150" t="str"/>
      <x:c r="AB23" s="150" t="str"/>
      <x:c r="AC23" s="153" t="str">
        <x:v>Rascunho</x:v>
      </x:c>
    </x:row>
    <x:row r="24">
      <x:c r="A24" s="86" t="str">
        <x:v>Q021</x:v>
      </x:c>
      <x:c r="B24" s="87" t="str">
        <x:v>interpretation</x:v>
      </x:c>
      <x:c r="C24" s="87" t="str">
        <x:v>Média</x:v>
      </x:c>
      <x:c r="D24" s="87" t="str"/>
      <x:c r="E24" s="87" t="str"/>
      <x:c r="F24" s="87" t="str"/>
      <x:c r="G24" s="87" t="str"/>
      <x:c r="H24" s="111" t="str"/>
      <x:c r="I24" s="111" t="str"/>
      <x:c r="J24" s="87" t="str"/>
      <x:c r="K24" s="150" t="str"/>
      <x:c r="L24" s="150" t="str">
        <x:v>rubric</x:v>
      </x:c>
      <x:c r="M24" s="151" t="str">
        <x:f>IF(OR($J24="",$E24="",$H24=""),"",SUMIFS(Dados_Mercado!$H$4:$H$303,Dados_Mercado!$A$4:$A$303,$J24,Dados_Mercado!$B$4:$B$303,$E24,Dados_Mercado!$D$4:$D$303,$H24))</x:f>
      </x:c>
      <x:c r="N24" s="151" t="str">
        <x:f>IF(OR($J24="",$E24="",$I24=""),"",SUMIFS(Dados_Mercado!$H$4:$H$303,Dados_Mercado!$A$4:$A$303,$J24,Dados_Mercado!$B$4:$B$303,$E24,Dados_Mercado!$D$4:$D$303,$I24))</x:f>
      </x:c>
      <x:c r="O24" s="151" t="str">
        <x:f>IF(OR(M24="",N24="",M24=0),"",(N24-M24)/M24*100)</x:f>
      </x:c>
      <x:c r="P24" s="151" t="str">
        <x:f>IF(OR($J24="",$F24="",$H24=""),"",SUMIFS(Dados_Mercado!$H$4:$H$303,Dados_Mercado!$A$4:$A$303,$J24,Dados_Mercado!$B$4:$B$303,$F24,Dados_Mercado!$D$4:$D$303,$H24))</x:f>
      </x:c>
      <x:c r="Q24" s="151" t="str">
        <x:f>IF(OR($J24="",$F24="",$I24=""),"",SUMIFS(Dados_Mercado!$H$4:$H$303,Dados_Mercado!$A$4:$A$303,$J24,Dados_Mercado!$B$4:$B$303,$F24,Dados_Mercado!$D$4:$D$303,$I24))</x:f>
      </x:c>
      <x:c r="R24" s="151" t="str">
        <x:f>IF(OR(P24="",Q24="",P24=0),"",(Q24-P24)/P24*100)</x:f>
      </x:c>
      <x:c r="S24" s="151" t="str">
        <x:f>IF(OR($J24="",$G24="",$H24=""),"",SUMIFS(Dados_Mercado!$H$4:$H$303,Dados_Mercado!$A$4:$A$303,$J24,Dados_Mercado!$B$4:$B$303,$G24,Dados_Mercado!$D$4:$D$303,$H24))</x:f>
      </x:c>
      <x:c r="T24" s="151" t="str">
        <x:f>IF(OR($J24="",$G24="",$I24=""),"",SUMIFS(Dados_Mercado!$H$4:$H$303,Dados_Mercado!$A$4:$A$303,$J24,Dados_Mercado!$B$4:$B$303,$G24,Dados_Mercado!$D$4:$D$303,$I24))</x:f>
      </x:c>
      <x:c r="U24" s="151" t="str">
        <x:f>IF(OR(S24="",T24="",S24=0),"",(T24-S24)/S24*100)</x:f>
      </x:c>
      <x:c r="V24" s="150" t="str">
        <x:f>IF(B24="factual",M24,IF(B24="calculation",O24,IF(B24="comparison",IF(E24="","",IF(AND(F24&lt;&gt;"",G24&lt;&gt;""),IF(O24&gt;=R24,IF(O24&gt;=U24,E24,G24),IF(R24&gt;=U24,F24,G24)),IF(F24&lt;&gt;"",IF(O24&gt;=R24,E24,F24),E24))),"")))</x:f>
      </x:c>
      <x:c r="W24" s="150" t="str"/>
      <x:c r="X24" s="152" t="str"/>
      <x:c r="Y24" s="150" t="str"/>
      <x:c r="Z24" s="150" t="str"/>
      <x:c r="AA24" s="150" t="str"/>
      <x:c r="AB24" s="150" t="str"/>
      <x:c r="AC24" s="153" t="str">
        <x:v>Rascunho</x:v>
      </x:c>
    </x:row>
    <x:row r="25">
      <x:c r="A25" s="86" t="str">
        <x:v>Q022</x:v>
      </x:c>
      <x:c r="B25" s="87" t="str">
        <x:v>interpretation</x:v>
      </x:c>
      <x:c r="C25" s="87" t="str">
        <x:v>Média</x:v>
      </x:c>
      <x:c r="D25" s="87" t="str"/>
      <x:c r="E25" s="87" t="str"/>
      <x:c r="F25" s="87" t="str"/>
      <x:c r="G25" s="87" t="str"/>
      <x:c r="H25" s="111" t="str"/>
      <x:c r="I25" s="111" t="str"/>
      <x:c r="J25" s="87" t="str"/>
      <x:c r="K25" s="150" t="str"/>
      <x:c r="L25" s="150" t="str">
        <x:v>rubric</x:v>
      </x:c>
      <x:c r="M25" s="151" t="str">
        <x:f>IF(OR($J25="",$E25="",$H25=""),"",SUMIFS(Dados_Mercado!$H$4:$H$303,Dados_Mercado!$A$4:$A$303,$J25,Dados_Mercado!$B$4:$B$303,$E25,Dados_Mercado!$D$4:$D$303,$H25))</x:f>
      </x:c>
      <x:c r="N25" s="151" t="str">
        <x:f>IF(OR($J25="",$E25="",$I25=""),"",SUMIFS(Dados_Mercado!$H$4:$H$303,Dados_Mercado!$A$4:$A$303,$J25,Dados_Mercado!$B$4:$B$303,$E25,Dados_Mercado!$D$4:$D$303,$I25))</x:f>
      </x:c>
      <x:c r="O25" s="151" t="str">
        <x:f>IF(OR(M25="",N25="",M25=0),"",(N25-M25)/M25*100)</x:f>
      </x:c>
      <x:c r="P25" s="151" t="str">
        <x:f>IF(OR($J25="",$F25="",$H25=""),"",SUMIFS(Dados_Mercado!$H$4:$H$303,Dados_Mercado!$A$4:$A$303,$J25,Dados_Mercado!$B$4:$B$303,$F25,Dados_Mercado!$D$4:$D$303,$H25))</x:f>
      </x:c>
      <x:c r="Q25" s="151" t="str">
        <x:f>IF(OR($J25="",$F25="",$I25=""),"",SUMIFS(Dados_Mercado!$H$4:$H$303,Dados_Mercado!$A$4:$A$303,$J25,Dados_Mercado!$B$4:$B$303,$F25,Dados_Mercado!$D$4:$D$303,$I25))</x:f>
      </x:c>
      <x:c r="R25" s="151" t="str">
        <x:f>IF(OR(P25="",Q25="",P25=0),"",(Q25-P25)/P25*100)</x:f>
      </x:c>
      <x:c r="S25" s="151" t="str">
        <x:f>IF(OR($J25="",$G25="",$H25=""),"",SUMIFS(Dados_Mercado!$H$4:$H$303,Dados_Mercado!$A$4:$A$303,$J25,Dados_Mercado!$B$4:$B$303,$G25,Dados_Mercado!$D$4:$D$303,$H25))</x:f>
      </x:c>
      <x:c r="T25" s="151" t="str">
        <x:f>IF(OR($J25="",$G25="",$I25=""),"",SUMIFS(Dados_Mercado!$H$4:$H$303,Dados_Mercado!$A$4:$A$303,$J25,Dados_Mercado!$B$4:$B$303,$G25,Dados_Mercado!$D$4:$D$303,$I25))</x:f>
      </x:c>
      <x:c r="U25" s="151" t="str">
        <x:f>IF(OR(S25="",T25="",S25=0),"",(T25-S25)/S25*100)</x:f>
      </x:c>
      <x:c r="V25" s="150" t="str">
        <x:f>IF(B25="factual",M25,IF(B25="calculation",O25,IF(B25="comparison",IF(E25="","",IF(AND(F25&lt;&gt;"",G25&lt;&gt;""),IF(O25&gt;=R25,IF(O25&gt;=U25,E25,G25),IF(R25&gt;=U25,F25,G25)),IF(F25&lt;&gt;"",IF(O25&gt;=R25,E25,F25),E25))),"")))</x:f>
      </x:c>
      <x:c r="W25" s="150" t="str"/>
      <x:c r="X25" s="152" t="str"/>
      <x:c r="Y25" s="150" t="str"/>
      <x:c r="Z25" s="150" t="str"/>
      <x:c r="AA25" s="150" t="str"/>
      <x:c r="AB25" s="150" t="str"/>
      <x:c r="AC25" s="153" t="str">
        <x:v>Rascunho</x:v>
      </x:c>
    </x:row>
    <x:row r="26">
      <x:c r="A26" s="86" t="str">
        <x:v>Q023</x:v>
      </x:c>
      <x:c r="B26" s="87" t="str">
        <x:v>interpretation</x:v>
      </x:c>
      <x:c r="C26" s="87" t="str">
        <x:v>Difícil</x:v>
      </x:c>
      <x:c r="D26" s="87" t="str"/>
      <x:c r="E26" s="87" t="str"/>
      <x:c r="F26" s="87" t="str"/>
      <x:c r="G26" s="87" t="str"/>
      <x:c r="H26" s="111" t="str"/>
      <x:c r="I26" s="111" t="str"/>
      <x:c r="J26" s="87" t="str"/>
      <x:c r="K26" s="150" t="str"/>
      <x:c r="L26" s="150" t="str">
        <x:v>rubric</x:v>
      </x:c>
      <x:c r="M26" s="151" t="str">
        <x:f>IF(OR($J26="",$E26="",$H26=""),"",SUMIFS(Dados_Mercado!$H$4:$H$303,Dados_Mercado!$A$4:$A$303,$J26,Dados_Mercado!$B$4:$B$303,$E26,Dados_Mercado!$D$4:$D$303,$H26))</x:f>
      </x:c>
      <x:c r="N26" s="151" t="str">
        <x:f>IF(OR($J26="",$E26="",$I26=""),"",SUMIFS(Dados_Mercado!$H$4:$H$303,Dados_Mercado!$A$4:$A$303,$J26,Dados_Mercado!$B$4:$B$303,$E26,Dados_Mercado!$D$4:$D$303,$I26))</x:f>
      </x:c>
      <x:c r="O26" s="151" t="str">
        <x:f>IF(OR(M26="",N26="",M26=0),"",(N26-M26)/M26*100)</x:f>
      </x:c>
      <x:c r="P26" s="151" t="str">
        <x:f>IF(OR($J26="",$F26="",$H26=""),"",SUMIFS(Dados_Mercado!$H$4:$H$303,Dados_Mercado!$A$4:$A$303,$J26,Dados_Mercado!$B$4:$B$303,$F26,Dados_Mercado!$D$4:$D$303,$H26))</x:f>
      </x:c>
      <x:c r="Q26" s="151" t="str">
        <x:f>IF(OR($J26="",$F26="",$I26=""),"",SUMIFS(Dados_Mercado!$H$4:$H$303,Dados_Mercado!$A$4:$A$303,$J26,Dados_Mercado!$B$4:$B$303,$F26,Dados_Mercado!$D$4:$D$303,$I26))</x:f>
      </x:c>
      <x:c r="R26" s="151" t="str">
        <x:f>IF(OR(P26="",Q26="",P26=0),"",(Q26-P26)/P26*100)</x:f>
      </x:c>
      <x:c r="S26" s="151" t="str">
        <x:f>IF(OR($J26="",$G26="",$H26=""),"",SUMIFS(Dados_Mercado!$H$4:$H$303,Dados_Mercado!$A$4:$A$303,$J26,Dados_Mercado!$B$4:$B$303,$G26,Dados_Mercado!$D$4:$D$303,$H26))</x:f>
      </x:c>
      <x:c r="T26" s="151" t="str">
        <x:f>IF(OR($J26="",$G26="",$I26=""),"",SUMIFS(Dados_Mercado!$H$4:$H$303,Dados_Mercado!$A$4:$A$303,$J26,Dados_Mercado!$B$4:$B$303,$G26,Dados_Mercado!$D$4:$D$303,$I26))</x:f>
      </x:c>
      <x:c r="U26" s="151" t="str">
        <x:f>IF(OR(S26="",T26="",S26=0),"",(T26-S26)/S26*100)</x:f>
      </x:c>
      <x:c r="V26" s="150" t="str">
        <x:f>IF(B26="factual",M26,IF(B26="calculation",O26,IF(B26="comparison",IF(E26="","",IF(AND(F26&lt;&gt;"",G26&lt;&gt;""),IF(O26&gt;=R26,IF(O26&gt;=U26,E26,G26),IF(R26&gt;=U26,F26,G26)),IF(F26&lt;&gt;"",IF(O26&gt;=R26,E26,F26),E26))),"")))</x:f>
      </x:c>
      <x:c r="W26" s="150" t="str"/>
      <x:c r="X26" s="152" t="str"/>
      <x:c r="Y26" s="150" t="str"/>
      <x:c r="Z26" s="150" t="str"/>
      <x:c r="AA26" s="150" t="str"/>
      <x:c r="AB26" s="150" t="str"/>
      <x:c r="AC26" s="153" t="str">
        <x:v>Rascunho</x:v>
      </x:c>
    </x:row>
    <x:row r="27">
      <x:c r="A27" s="86" t="str">
        <x:v>Q024</x:v>
      </x:c>
      <x:c r="B27" s="87" t="str">
        <x:v>interpretation</x:v>
      </x:c>
      <x:c r="C27" s="87" t="str">
        <x:v>Difícil</x:v>
      </x:c>
      <x:c r="D27" s="87" t="str"/>
      <x:c r="E27" s="87" t="str"/>
      <x:c r="F27" s="87" t="str"/>
      <x:c r="G27" s="87" t="str"/>
      <x:c r="H27" s="111" t="str"/>
      <x:c r="I27" s="111" t="str"/>
      <x:c r="J27" s="87" t="str"/>
      <x:c r="K27" s="150" t="str"/>
      <x:c r="L27" s="150" t="str">
        <x:v>rubric</x:v>
      </x:c>
      <x:c r="M27" s="151" t="str">
        <x:f>IF(OR($J27="",$E27="",$H27=""),"",SUMIFS(Dados_Mercado!$H$4:$H$303,Dados_Mercado!$A$4:$A$303,$J27,Dados_Mercado!$B$4:$B$303,$E27,Dados_Mercado!$D$4:$D$303,$H27))</x:f>
      </x:c>
      <x:c r="N27" s="151" t="str">
        <x:f>IF(OR($J27="",$E27="",$I27=""),"",SUMIFS(Dados_Mercado!$H$4:$H$303,Dados_Mercado!$A$4:$A$303,$J27,Dados_Mercado!$B$4:$B$303,$E27,Dados_Mercado!$D$4:$D$303,$I27))</x:f>
      </x:c>
      <x:c r="O27" s="151" t="str">
        <x:f>IF(OR(M27="",N27="",M27=0),"",(N27-M27)/M27*100)</x:f>
      </x:c>
      <x:c r="P27" s="151" t="str">
        <x:f>IF(OR($J27="",$F27="",$H27=""),"",SUMIFS(Dados_Mercado!$H$4:$H$303,Dados_Mercado!$A$4:$A$303,$J27,Dados_Mercado!$B$4:$B$303,$F27,Dados_Mercado!$D$4:$D$303,$H27))</x:f>
      </x:c>
      <x:c r="Q27" s="151" t="str">
        <x:f>IF(OR($J27="",$F27="",$I27=""),"",SUMIFS(Dados_Mercado!$H$4:$H$303,Dados_Mercado!$A$4:$A$303,$J27,Dados_Mercado!$B$4:$B$303,$F27,Dados_Mercado!$D$4:$D$303,$I27))</x:f>
      </x:c>
      <x:c r="R27" s="151" t="str">
        <x:f>IF(OR(P27="",Q27="",P27=0),"",(Q27-P27)/P27*100)</x:f>
      </x:c>
      <x:c r="S27" s="151" t="str">
        <x:f>IF(OR($J27="",$G27="",$H27=""),"",SUMIFS(Dados_Mercado!$H$4:$H$303,Dados_Mercado!$A$4:$A$303,$J27,Dados_Mercado!$B$4:$B$303,$G27,Dados_Mercado!$D$4:$D$303,$H27))</x:f>
      </x:c>
      <x:c r="T27" s="151" t="str">
        <x:f>IF(OR($J27="",$G27="",$I27=""),"",SUMIFS(Dados_Mercado!$H$4:$H$303,Dados_Mercado!$A$4:$A$303,$J27,Dados_Mercado!$B$4:$B$303,$G27,Dados_Mercado!$D$4:$D$303,$I27))</x:f>
      </x:c>
      <x:c r="U27" s="151" t="str">
        <x:f>IF(OR(S27="",T27="",S27=0),"",(T27-S27)/S27*100)</x:f>
      </x:c>
      <x:c r="V27" s="150" t="str">
        <x:f>IF(B27="factual",M27,IF(B27="calculation",O27,IF(B27="comparison",IF(E27="","",IF(AND(F27&lt;&gt;"",G27&lt;&gt;""),IF(O27&gt;=R27,IF(O27&gt;=U27,E27,G27),IF(R27&gt;=U27,F27,G27)),IF(F27&lt;&gt;"",IF(O27&gt;=R27,E27,F27),E27))),"")))</x:f>
      </x:c>
      <x:c r="W27" s="150" t="str"/>
      <x:c r="X27" s="152" t="str"/>
      <x:c r="Y27" s="150" t="str"/>
      <x:c r="Z27" s="150" t="str"/>
      <x:c r="AA27" s="150" t="str"/>
      <x:c r="AB27" s="150" t="str"/>
      <x:c r="AC27" s="153" t="str">
        <x:v>Rascunho</x:v>
      </x:c>
    </x:row>
    <x:row r="28">
      <x:c r="A28" s="86" t="str">
        <x:v>Q025</x:v>
      </x:c>
      <x:c r="B28" s="87" t="str">
        <x:v>tool_use</x:v>
      </x:c>
      <x:c r="C28" s="87" t="str">
        <x:v>Fácil</x:v>
      </x:c>
      <x:c r="D28" s="87" t="str"/>
      <x:c r="E28" s="87" t="str"/>
      <x:c r="F28" s="87" t="str"/>
      <x:c r="G28" s="87" t="str"/>
      <x:c r="H28" s="111" t="str"/>
      <x:c r="I28" s="111" t="str"/>
      <x:c r="J28" s="87" t="str"/>
      <x:c r="K28" s="150" t="str"/>
      <x:c r="L28" s="150" t="str">
        <x:v>rubric</x:v>
      </x:c>
      <x:c r="M28" s="151" t="str">
        <x:f>IF(OR($J28="",$E28="",$H28=""),"",SUMIFS(Dados_Mercado!$H$4:$H$303,Dados_Mercado!$A$4:$A$303,$J28,Dados_Mercado!$B$4:$B$303,$E28,Dados_Mercado!$D$4:$D$303,$H28))</x:f>
      </x:c>
      <x:c r="N28" s="151" t="str">
        <x:f>IF(OR($J28="",$E28="",$I28=""),"",SUMIFS(Dados_Mercado!$H$4:$H$303,Dados_Mercado!$A$4:$A$303,$J28,Dados_Mercado!$B$4:$B$303,$E28,Dados_Mercado!$D$4:$D$303,$I28))</x:f>
      </x:c>
      <x:c r="O28" s="151" t="str">
        <x:f>IF(OR(M28="",N28="",M28=0),"",(N28-M28)/M28*100)</x:f>
      </x:c>
      <x:c r="P28" s="151" t="str">
        <x:f>IF(OR($J28="",$F28="",$H28=""),"",SUMIFS(Dados_Mercado!$H$4:$H$303,Dados_Mercado!$A$4:$A$303,$J28,Dados_Mercado!$B$4:$B$303,$F28,Dados_Mercado!$D$4:$D$303,$H28))</x:f>
      </x:c>
      <x:c r="Q28" s="151" t="str">
        <x:f>IF(OR($J28="",$F28="",$I28=""),"",SUMIFS(Dados_Mercado!$H$4:$H$303,Dados_Mercado!$A$4:$A$303,$J28,Dados_Mercado!$B$4:$B$303,$F28,Dados_Mercado!$D$4:$D$303,$I28))</x:f>
      </x:c>
      <x:c r="R28" s="151" t="str">
        <x:f>IF(OR(P28="",Q28="",P28=0),"",(Q28-P28)/P28*100)</x:f>
      </x:c>
      <x:c r="S28" s="151" t="str">
        <x:f>IF(OR($J28="",$G28="",$H28=""),"",SUMIFS(Dados_Mercado!$H$4:$H$303,Dados_Mercado!$A$4:$A$303,$J28,Dados_Mercado!$B$4:$B$303,$G28,Dados_Mercado!$D$4:$D$303,$H28))</x:f>
      </x:c>
      <x:c r="T28" s="151" t="str">
        <x:f>IF(OR($J28="",$G28="",$I28=""),"",SUMIFS(Dados_Mercado!$H$4:$H$303,Dados_Mercado!$A$4:$A$303,$J28,Dados_Mercado!$B$4:$B$303,$G28,Dados_Mercado!$D$4:$D$303,$I28))</x:f>
      </x:c>
      <x:c r="U28" s="151" t="str">
        <x:f>IF(OR(S28="",T28="",S28=0),"",(T28-S28)/S28*100)</x:f>
      </x:c>
      <x:c r="V28" s="150" t="str">
        <x:f>IF(B28="factual",M28,IF(B28="calculation",O28,IF(B28="comparison",IF(E28="","",IF(AND(F28&lt;&gt;"",G28&lt;&gt;""),IF(O28&gt;=R28,IF(O28&gt;=U28,E28,G28),IF(R28&gt;=U28,F28,G28)),IF(F28&lt;&gt;"",IF(O28&gt;=R28,E28,F28),E28))),"")))</x:f>
      </x:c>
      <x:c r="W28" s="150" t="str"/>
      <x:c r="X28" s="152" t="str"/>
      <x:c r="Y28" s="150" t="str"/>
      <x:c r="Z28" s="150" t="str"/>
      <x:c r="AA28" s="150" t="str"/>
      <x:c r="AB28" s="150" t="str"/>
      <x:c r="AC28" s="153" t="str">
        <x:v>Rascunho</x:v>
      </x:c>
    </x:row>
    <x:row r="29">
      <x:c r="A29" s="86" t="str">
        <x:v>Q026</x:v>
      </x:c>
      <x:c r="B29" s="87" t="str">
        <x:v>tool_use</x:v>
      </x:c>
      <x:c r="C29" s="87" t="str">
        <x:v>Fácil</x:v>
      </x:c>
      <x:c r="D29" s="87" t="str"/>
      <x:c r="E29" s="87" t="str"/>
      <x:c r="F29" s="87" t="str"/>
      <x:c r="G29" s="87" t="str"/>
      <x:c r="H29" s="111" t="str"/>
      <x:c r="I29" s="111" t="str"/>
      <x:c r="J29" s="87" t="str"/>
      <x:c r="K29" s="150" t="str"/>
      <x:c r="L29" s="150" t="str">
        <x:v>rubric</x:v>
      </x:c>
      <x:c r="M29" s="151" t="str">
        <x:f>IF(OR($J29="",$E29="",$H29=""),"",SUMIFS(Dados_Mercado!$H$4:$H$303,Dados_Mercado!$A$4:$A$303,$J29,Dados_Mercado!$B$4:$B$303,$E29,Dados_Mercado!$D$4:$D$303,$H29))</x:f>
      </x:c>
      <x:c r="N29" s="151" t="str">
        <x:f>IF(OR($J29="",$E29="",$I29=""),"",SUMIFS(Dados_Mercado!$H$4:$H$303,Dados_Mercado!$A$4:$A$303,$J29,Dados_Mercado!$B$4:$B$303,$E29,Dados_Mercado!$D$4:$D$303,$I29))</x:f>
      </x:c>
      <x:c r="O29" s="151" t="str">
        <x:f>IF(OR(M29="",N29="",M29=0),"",(N29-M29)/M29*100)</x:f>
      </x:c>
      <x:c r="P29" s="151" t="str">
        <x:f>IF(OR($J29="",$F29="",$H29=""),"",SUMIFS(Dados_Mercado!$H$4:$H$303,Dados_Mercado!$A$4:$A$303,$J29,Dados_Mercado!$B$4:$B$303,$F29,Dados_Mercado!$D$4:$D$303,$H29))</x:f>
      </x:c>
      <x:c r="Q29" s="151" t="str">
        <x:f>IF(OR($J29="",$F29="",$I29=""),"",SUMIFS(Dados_Mercado!$H$4:$H$303,Dados_Mercado!$A$4:$A$303,$J29,Dados_Mercado!$B$4:$B$303,$F29,Dados_Mercado!$D$4:$D$303,$I29))</x:f>
      </x:c>
      <x:c r="R29" s="151" t="str">
        <x:f>IF(OR(P29="",Q29="",P29=0),"",(Q29-P29)/P29*100)</x:f>
      </x:c>
      <x:c r="S29" s="151" t="str">
        <x:f>IF(OR($J29="",$G29="",$H29=""),"",SUMIFS(Dados_Mercado!$H$4:$H$303,Dados_Mercado!$A$4:$A$303,$J29,Dados_Mercado!$B$4:$B$303,$G29,Dados_Mercado!$D$4:$D$303,$H29))</x:f>
      </x:c>
      <x:c r="T29" s="151" t="str">
        <x:f>IF(OR($J29="",$G29="",$I29=""),"",SUMIFS(Dados_Mercado!$H$4:$H$303,Dados_Mercado!$A$4:$A$303,$J29,Dados_Mercado!$B$4:$B$303,$G29,Dados_Mercado!$D$4:$D$303,$I29))</x:f>
      </x:c>
      <x:c r="U29" s="151" t="str">
        <x:f>IF(OR(S29="",T29="",S29=0),"",(T29-S29)/S29*100)</x:f>
      </x:c>
      <x:c r="V29" s="150" t="str">
        <x:f>IF(B29="factual",M29,IF(B29="calculation",O29,IF(B29="comparison",IF(E29="","",IF(AND(F29&lt;&gt;"",G29&lt;&gt;""),IF(O29&gt;=R29,IF(O29&gt;=U29,E29,G29),IF(R29&gt;=U29,F29,G29)),IF(F29&lt;&gt;"",IF(O29&gt;=R29,E29,F29),E29))),"")))</x:f>
      </x:c>
      <x:c r="W29" s="150" t="str"/>
      <x:c r="X29" s="152" t="str"/>
      <x:c r="Y29" s="150" t="str"/>
      <x:c r="Z29" s="150" t="str"/>
      <x:c r="AA29" s="150" t="str"/>
      <x:c r="AB29" s="150" t="str"/>
      <x:c r="AC29" s="153" t="str">
        <x:v>Rascunho</x:v>
      </x:c>
    </x:row>
    <x:row r="30">
      <x:c r="A30" s="86" t="str">
        <x:v>Q027</x:v>
      </x:c>
      <x:c r="B30" s="87" t="str">
        <x:v>tool_use</x:v>
      </x:c>
      <x:c r="C30" s="87" t="str">
        <x:v>Média</x:v>
      </x:c>
      <x:c r="D30" s="87" t="str"/>
      <x:c r="E30" s="87" t="str"/>
      <x:c r="F30" s="87" t="str"/>
      <x:c r="G30" s="87" t="str"/>
      <x:c r="H30" s="111" t="str"/>
      <x:c r="I30" s="111" t="str"/>
      <x:c r="J30" s="87" t="str"/>
      <x:c r="K30" s="150" t="str"/>
      <x:c r="L30" s="150" t="str">
        <x:v>rubric</x:v>
      </x:c>
      <x:c r="M30" s="151" t="str">
        <x:f>IF(OR($J30="",$E30="",$H30=""),"",SUMIFS(Dados_Mercado!$H$4:$H$303,Dados_Mercado!$A$4:$A$303,$J30,Dados_Mercado!$B$4:$B$303,$E30,Dados_Mercado!$D$4:$D$303,$H30))</x:f>
      </x:c>
      <x:c r="N30" s="151" t="str">
        <x:f>IF(OR($J30="",$E30="",$I30=""),"",SUMIFS(Dados_Mercado!$H$4:$H$303,Dados_Mercado!$A$4:$A$303,$J30,Dados_Mercado!$B$4:$B$303,$E30,Dados_Mercado!$D$4:$D$303,$I30))</x:f>
      </x:c>
      <x:c r="O30" s="151" t="str">
        <x:f>IF(OR(M30="",N30="",M30=0),"",(N30-M30)/M30*100)</x:f>
      </x:c>
      <x:c r="P30" s="151" t="str">
        <x:f>IF(OR($J30="",$F30="",$H30=""),"",SUMIFS(Dados_Mercado!$H$4:$H$303,Dados_Mercado!$A$4:$A$303,$J30,Dados_Mercado!$B$4:$B$303,$F30,Dados_Mercado!$D$4:$D$303,$H30))</x:f>
      </x:c>
      <x:c r="Q30" s="151" t="str">
        <x:f>IF(OR($J30="",$F30="",$I30=""),"",SUMIFS(Dados_Mercado!$H$4:$H$303,Dados_Mercado!$A$4:$A$303,$J30,Dados_Mercado!$B$4:$B$303,$F30,Dados_Mercado!$D$4:$D$303,$I30))</x:f>
      </x:c>
      <x:c r="R30" s="151" t="str">
        <x:f>IF(OR(P30="",Q30="",P30=0),"",(Q30-P30)/P30*100)</x:f>
      </x:c>
      <x:c r="S30" s="151" t="str">
        <x:f>IF(OR($J30="",$G30="",$H30=""),"",SUMIFS(Dados_Mercado!$H$4:$H$303,Dados_Mercado!$A$4:$A$303,$J30,Dados_Mercado!$B$4:$B$303,$G30,Dados_Mercado!$D$4:$D$303,$H30))</x:f>
      </x:c>
      <x:c r="T30" s="151" t="str">
        <x:f>IF(OR($J30="",$G30="",$I30=""),"",SUMIFS(Dados_Mercado!$H$4:$H$303,Dados_Mercado!$A$4:$A$303,$J30,Dados_Mercado!$B$4:$B$303,$G30,Dados_Mercado!$D$4:$D$303,$I30))</x:f>
      </x:c>
      <x:c r="U30" s="151" t="str">
        <x:f>IF(OR(S30="",T30="",S30=0),"",(T30-S30)/S30*100)</x:f>
      </x:c>
      <x:c r="V30" s="150" t="str">
        <x:f>IF(B30="factual",M30,IF(B30="calculation",O30,IF(B30="comparison",IF(E30="","",IF(AND(F30&lt;&gt;"",G30&lt;&gt;""),IF(O30&gt;=R30,IF(O30&gt;=U30,E30,G30),IF(R30&gt;=U30,F30,G30)),IF(F30&lt;&gt;"",IF(O30&gt;=R30,E30,F30),E30))),"")))</x:f>
      </x:c>
      <x:c r="W30" s="150" t="str"/>
      <x:c r="X30" s="152" t="str"/>
      <x:c r="Y30" s="150" t="str"/>
      <x:c r="Z30" s="150" t="str"/>
      <x:c r="AA30" s="150" t="str"/>
      <x:c r="AB30" s="150" t="str"/>
      <x:c r="AC30" s="153" t="str">
        <x:v>Rascunho</x:v>
      </x:c>
    </x:row>
    <x:row r="31">
      <x:c r="A31" s="86" t="str">
        <x:v>Q028</x:v>
      </x:c>
      <x:c r="B31" s="87" t="str">
        <x:v>tool_use</x:v>
      </x:c>
      <x:c r="C31" s="87" t="str">
        <x:v>Média</x:v>
      </x:c>
      <x:c r="D31" s="87" t="str"/>
      <x:c r="E31" s="87" t="str"/>
      <x:c r="F31" s="87" t="str"/>
      <x:c r="G31" s="87" t="str"/>
      <x:c r="H31" s="111" t="str"/>
      <x:c r="I31" s="111" t="str"/>
      <x:c r="J31" s="87" t="str"/>
      <x:c r="K31" s="150" t="str"/>
      <x:c r="L31" s="150" t="str">
        <x:v>rubric</x:v>
      </x:c>
      <x:c r="M31" s="151" t="str">
        <x:f>IF(OR($J31="",$E31="",$H31=""),"",SUMIFS(Dados_Mercado!$H$4:$H$303,Dados_Mercado!$A$4:$A$303,$J31,Dados_Mercado!$B$4:$B$303,$E31,Dados_Mercado!$D$4:$D$303,$H31))</x:f>
      </x:c>
      <x:c r="N31" s="151" t="str">
        <x:f>IF(OR($J31="",$E31="",$I31=""),"",SUMIFS(Dados_Mercado!$H$4:$H$303,Dados_Mercado!$A$4:$A$303,$J31,Dados_Mercado!$B$4:$B$303,$E31,Dados_Mercado!$D$4:$D$303,$I31))</x:f>
      </x:c>
      <x:c r="O31" s="151" t="str">
        <x:f>IF(OR(M31="",N31="",M31=0),"",(N31-M31)/M31*100)</x:f>
      </x:c>
      <x:c r="P31" s="151" t="str">
        <x:f>IF(OR($J31="",$F31="",$H31=""),"",SUMIFS(Dados_Mercado!$H$4:$H$303,Dados_Mercado!$A$4:$A$303,$J31,Dados_Mercado!$B$4:$B$303,$F31,Dados_Mercado!$D$4:$D$303,$H31))</x:f>
      </x:c>
      <x:c r="Q31" s="151" t="str">
        <x:f>IF(OR($J31="",$F31="",$I31=""),"",SUMIFS(Dados_Mercado!$H$4:$H$303,Dados_Mercado!$A$4:$A$303,$J31,Dados_Mercado!$B$4:$B$303,$F31,Dados_Mercado!$D$4:$D$303,$I31))</x:f>
      </x:c>
      <x:c r="R31" s="151" t="str">
        <x:f>IF(OR(P31="",Q31="",P31=0),"",(Q31-P31)/P31*100)</x:f>
      </x:c>
      <x:c r="S31" s="151" t="str">
        <x:f>IF(OR($J31="",$G31="",$H31=""),"",SUMIFS(Dados_Mercado!$H$4:$H$303,Dados_Mercado!$A$4:$A$303,$J31,Dados_Mercado!$B$4:$B$303,$G31,Dados_Mercado!$D$4:$D$303,$H31))</x:f>
      </x:c>
      <x:c r="T31" s="151" t="str">
        <x:f>IF(OR($J31="",$G31="",$I31=""),"",SUMIFS(Dados_Mercado!$H$4:$H$303,Dados_Mercado!$A$4:$A$303,$J31,Dados_Mercado!$B$4:$B$303,$G31,Dados_Mercado!$D$4:$D$303,$I31))</x:f>
      </x:c>
      <x:c r="U31" s="151" t="str">
        <x:f>IF(OR(S31="",T31="",S31=0),"",(T31-S31)/S31*100)</x:f>
      </x:c>
      <x:c r="V31" s="150" t="str">
        <x:f>IF(B31="factual",M31,IF(B31="calculation",O31,IF(B31="comparison",IF(E31="","",IF(AND(F31&lt;&gt;"",G31&lt;&gt;""),IF(O31&gt;=R31,IF(O31&gt;=U31,E31,G31),IF(R31&gt;=U31,F31,G31)),IF(F31&lt;&gt;"",IF(O31&gt;=R31,E31,F31),E31))),"")))</x:f>
      </x:c>
      <x:c r="W31" s="150" t="str"/>
      <x:c r="X31" s="152" t="str"/>
      <x:c r="Y31" s="150" t="str"/>
      <x:c r="Z31" s="150" t="str"/>
      <x:c r="AA31" s="150" t="str"/>
      <x:c r="AB31" s="150" t="str"/>
      <x:c r="AC31" s="153" t="str">
        <x:v>Rascunho</x:v>
      </x:c>
    </x:row>
    <x:row r="32">
      <x:c r="A32" s="86" t="str">
        <x:v>Q029</x:v>
      </x:c>
      <x:c r="B32" s="87" t="str">
        <x:v>tool_use</x:v>
      </x:c>
      <x:c r="C32" s="87" t="str">
        <x:v>Difícil</x:v>
      </x:c>
      <x:c r="D32" s="87" t="str"/>
      <x:c r="E32" s="87" t="str"/>
      <x:c r="F32" s="87" t="str"/>
      <x:c r="G32" s="87" t="str"/>
      <x:c r="H32" s="111" t="str"/>
      <x:c r="I32" s="111" t="str"/>
      <x:c r="J32" s="87" t="str"/>
      <x:c r="K32" s="150" t="str"/>
      <x:c r="L32" s="150" t="str">
        <x:v>rubric</x:v>
      </x:c>
      <x:c r="M32" s="151" t="str">
        <x:f>IF(OR($J32="",$E32="",$H32=""),"",SUMIFS(Dados_Mercado!$H$4:$H$303,Dados_Mercado!$A$4:$A$303,$J32,Dados_Mercado!$B$4:$B$303,$E32,Dados_Mercado!$D$4:$D$303,$H32))</x:f>
      </x:c>
      <x:c r="N32" s="151" t="str">
        <x:f>IF(OR($J32="",$E32="",$I32=""),"",SUMIFS(Dados_Mercado!$H$4:$H$303,Dados_Mercado!$A$4:$A$303,$J32,Dados_Mercado!$B$4:$B$303,$E32,Dados_Mercado!$D$4:$D$303,$I32))</x:f>
      </x:c>
      <x:c r="O32" s="151" t="str">
        <x:f>IF(OR(M32="",N32="",M32=0),"",(N32-M32)/M32*100)</x:f>
      </x:c>
      <x:c r="P32" s="151" t="str">
        <x:f>IF(OR($J32="",$F32="",$H32=""),"",SUMIFS(Dados_Mercado!$H$4:$H$303,Dados_Mercado!$A$4:$A$303,$J32,Dados_Mercado!$B$4:$B$303,$F32,Dados_Mercado!$D$4:$D$303,$H32))</x:f>
      </x:c>
      <x:c r="Q32" s="151" t="str">
        <x:f>IF(OR($J32="",$F32="",$I32=""),"",SUMIFS(Dados_Mercado!$H$4:$H$303,Dados_Mercado!$A$4:$A$303,$J32,Dados_Mercado!$B$4:$B$303,$F32,Dados_Mercado!$D$4:$D$303,$I32))</x:f>
      </x:c>
      <x:c r="R32" s="151" t="str">
        <x:f>IF(OR(P32="",Q32="",P32=0),"",(Q32-P32)/P32*100)</x:f>
      </x:c>
      <x:c r="S32" s="151" t="str">
        <x:f>IF(OR($J32="",$G32="",$H32=""),"",SUMIFS(Dados_Mercado!$H$4:$H$303,Dados_Mercado!$A$4:$A$303,$J32,Dados_Mercado!$B$4:$B$303,$G32,Dados_Mercado!$D$4:$D$303,$H32))</x:f>
      </x:c>
      <x:c r="T32" s="151" t="str">
        <x:f>IF(OR($J32="",$G32="",$I32=""),"",SUMIFS(Dados_Mercado!$H$4:$H$303,Dados_Mercado!$A$4:$A$303,$J32,Dados_Mercado!$B$4:$B$303,$G32,Dados_Mercado!$D$4:$D$303,$I32))</x:f>
      </x:c>
      <x:c r="U32" s="151" t="str">
        <x:f>IF(OR(S32="",T32="",S32=0),"",(T32-S32)/S32*100)</x:f>
      </x:c>
      <x:c r="V32" s="150" t="str">
        <x:f>IF(B32="factual",M32,IF(B32="calculation",O32,IF(B32="comparison",IF(E32="","",IF(AND(F32&lt;&gt;"",G32&lt;&gt;""),IF(O32&gt;=R32,IF(O32&gt;=U32,E32,G32),IF(R32&gt;=U32,F32,G32)),IF(F32&lt;&gt;"",IF(O32&gt;=R32,E32,F32),E32))),"")))</x:f>
      </x:c>
      <x:c r="W32" s="150" t="str"/>
      <x:c r="X32" s="152" t="str"/>
      <x:c r="Y32" s="150" t="str"/>
      <x:c r="Z32" s="150" t="str"/>
      <x:c r="AA32" s="150" t="str"/>
      <x:c r="AB32" s="150" t="str"/>
      <x:c r="AC32" s="153" t="str">
        <x:v>Rascunho</x:v>
      </x:c>
    </x:row>
    <x:row r="33">
      <x:c r="A33" s="89" t="str">
        <x:v>Q030</x:v>
      </x:c>
      <x:c r="B33" s="90" t="str">
        <x:v>tool_use</x:v>
      </x:c>
      <x:c r="C33" s="90" t="str">
        <x:v>Difícil</x:v>
      </x:c>
      <x:c r="D33" s="90" t="str"/>
      <x:c r="E33" s="90" t="str"/>
      <x:c r="F33" s="90" t="str"/>
      <x:c r="G33" s="90" t="str"/>
      <x:c r="H33" s="112" t="str"/>
      <x:c r="I33" s="112" t="str"/>
      <x:c r="J33" s="90" t="str"/>
      <x:c r="K33" s="154" t="str"/>
      <x:c r="L33" s="154" t="str">
        <x:v>rubric</x:v>
      </x:c>
      <x:c r="M33" s="155" t="str">
        <x:f>IF(OR($J33="",$E33="",$H33=""),"",SUMIFS(Dados_Mercado!$H$4:$H$303,Dados_Mercado!$A$4:$A$303,$J33,Dados_Mercado!$B$4:$B$303,$E33,Dados_Mercado!$D$4:$D$303,$H33))</x:f>
      </x:c>
      <x:c r="N33" s="155" t="str">
        <x:f>IF(OR($J33="",$E33="",$I33=""),"",SUMIFS(Dados_Mercado!$H$4:$H$303,Dados_Mercado!$A$4:$A$303,$J33,Dados_Mercado!$B$4:$B$303,$E33,Dados_Mercado!$D$4:$D$303,$I33))</x:f>
      </x:c>
      <x:c r="O33" s="155" t="str">
        <x:f>IF(OR(M33="",N33="",M33=0),"",(N33-M33)/M33*100)</x:f>
      </x:c>
      <x:c r="P33" s="155" t="str">
        <x:f>IF(OR($J33="",$F33="",$H33=""),"",SUMIFS(Dados_Mercado!$H$4:$H$303,Dados_Mercado!$A$4:$A$303,$J33,Dados_Mercado!$B$4:$B$303,$F33,Dados_Mercado!$D$4:$D$303,$H33))</x:f>
      </x:c>
      <x:c r="Q33" s="155" t="str">
        <x:f>IF(OR($J33="",$F33="",$I33=""),"",SUMIFS(Dados_Mercado!$H$4:$H$303,Dados_Mercado!$A$4:$A$303,$J33,Dados_Mercado!$B$4:$B$303,$F33,Dados_Mercado!$D$4:$D$303,$I33))</x:f>
      </x:c>
      <x:c r="R33" s="155" t="str">
        <x:f>IF(OR(P33="",Q33="",P33=0),"",(Q33-P33)/P33*100)</x:f>
      </x:c>
      <x:c r="S33" s="155" t="str">
        <x:f>IF(OR($J33="",$G33="",$H33=""),"",SUMIFS(Dados_Mercado!$H$4:$H$303,Dados_Mercado!$A$4:$A$303,$J33,Dados_Mercado!$B$4:$B$303,$G33,Dados_Mercado!$D$4:$D$303,$H33))</x:f>
      </x:c>
      <x:c r="T33" s="155" t="str">
        <x:f>IF(OR($J33="",$G33="",$I33=""),"",SUMIFS(Dados_Mercado!$H$4:$H$303,Dados_Mercado!$A$4:$A$303,$J33,Dados_Mercado!$B$4:$B$303,$G33,Dados_Mercado!$D$4:$D$303,$I33))</x:f>
      </x:c>
      <x:c r="U33" s="155" t="str">
        <x:f>IF(OR(S33="",T33="",S33=0),"",(T33-S33)/S33*100)</x:f>
      </x:c>
      <x:c r="V33" s="154" t="str">
        <x:f>IF(B33="factual",M33,IF(B33="calculation",O33,IF(B33="comparison",IF(E33="","",IF(AND(F33&lt;&gt;"",G33&lt;&gt;""),IF(O33&gt;=R33,IF(O33&gt;=U33,E33,G33),IF(R33&gt;=U33,F33,G33)),IF(F33&lt;&gt;"",IF(O33&gt;=R33,E33,F33),E33))),"")))</x:f>
      </x:c>
      <x:c r="W33" s="154" t="str"/>
      <x:c r="X33" s="156" t="str"/>
      <x:c r="Y33" s="154" t="str"/>
      <x:c r="Z33" s="154" t="str"/>
      <x:c r="AA33" s="154" t="str"/>
      <x:c r="AB33" s="154" t="str"/>
      <x:c r="AC33" s="157" t="str">
        <x:v>Rascunho</x:v>
      </x:c>
    </x:row>
  </x:sheetData>
  <x:mergeCells>
    <x:mergeCell ref="A1:AC1"/>
  </x:mergeCells>
  <x:conditionalFormatting sqref="AC4:AC33">
    <x:cfRule type="expression" dxfId="0" priority="1">
      <x:formula>AC4="Congelado"</x:formula>
    </x:cfRule>
    <x:cfRule type="expression" dxfId="1" priority="2">
      <x:formula>AC4="Rascunho"</x:formula>
    </x:cfRule>
  </x:conditionalFormatting>
  <x:dataValidations count="5">
    <x:dataValidation type="list" sqref="B4:B33">
      <x:formula1>"factual,calculation,comparison,interpretation,tool_use"</x:formula1>
    </x:dataValidation>
    <x:dataValidation type="list" sqref="C4:C33">
      <x:formula1>"Fácil,Média,Difícil"</x:formula1>
    </x:dataValidation>
    <x:dataValidation type="list" sqref="D4:D33">
      <x:formula1>"Ação,FII,Índice,Misto"</x:formula1>
    </x:dataValidation>
    <x:dataValidation type="list" sqref="L4:L33">
      <x:formula1>"numeric,percentage,text,rubric"</x:formula1>
    </x:dataValidation>
    <x:dataValidation type="list" sqref="AC4:AC33">
      <x:formula1>"Rascunho,Pronto,Validado,Congelado"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20" hidden="0" customWidth="1"/>
    <x:col min="4" max="4" width="58" hidden="0" customWidth="1"/>
    <x:col min="5" max="5" width="16" hidden="0" customWidth="1"/>
    <x:col min="6" max="6" width="24" hidden="0" customWidth="1"/>
  </x:cols>
  <x:sheetData>
    <x:row r="1" ht="28" customHeight="1">
      <x:c r="A1" s="5" t="str">
        <x:v>Rubrica de Avaliação</x:v>
      </x:c>
    </x:row>
    <x:row r="3" ht="28" customHeight="1">
      <x:c r="A3" s="58" t="str">
        <x:v>Métrica</x:v>
      </x:c>
      <x:c r="B3" s="59" t="str">
        <x:v>Dimensão</x:v>
      </x:c>
      <x:c r="C3" s="59" t="str">
        <x:v>Tipo</x:v>
      </x:c>
      <x:c r="D3" s="59" t="str">
        <x:v>Como calcular/avaliar</x:v>
      </x:c>
      <x:c r="E3" s="59" t="str">
        <x:v>Melhor direção</x:v>
      </x:c>
      <x:c r="F3" s="60" t="str">
        <x:v>Uso principal</x:v>
      </x:c>
    </x:row>
    <x:row r="4">
      <x:c r="A4" s="170" t="str">
        <x:v>Precisão factual</x:v>
      </x:c>
      <x:c r="B4" s="146" t="str">
        <x:v>Qualidade</x:v>
      </x:c>
      <x:c r="C4" s="146" t="str">
        <x:v>Automática</x:v>
      </x:c>
      <x:c r="D4" s="146" t="str">
        <x:v>Respostas corretas / total de respostas</x:v>
      </x:c>
      <x:c r="E4" s="146" t="str">
        <x:v>Maior</x:v>
      </x:c>
      <x:c r="F4" s="149" t="str">
        <x:v>Questões factuais</x:v>
      </x:c>
    </x:row>
    <x:row r="5">
      <x:c r="A5" s="171" t="str">
        <x:v>Precisão numérica</x:v>
      </x:c>
      <x:c r="B5" s="150" t="str">
        <x:v>Qualidade</x:v>
      </x:c>
      <x:c r="C5" s="150" t="str">
        <x:v>Automática</x:v>
      </x:c>
      <x:c r="D5" s="150" t="str">
        <x:v>Correta se |gerado - esperado| &lt;= tolerância</x:v>
      </x:c>
      <x:c r="E5" s="150" t="str">
        <x:v>Maior</x:v>
      </x:c>
      <x:c r="F5" s="153" t="str">
        <x:v>Cálculo</x:v>
      </x:c>
    </x:row>
    <x:row r="6">
      <x:c r="A6" s="171" t="str">
        <x:v>Erro absoluto</x:v>
      </x:c>
      <x:c r="B6" s="150" t="str">
        <x:v>Qualidade</x:v>
      </x:c>
      <x:c r="C6" s="150" t="str">
        <x:v>Automática</x:v>
      </x:c>
      <x:c r="D6" s="150" t="str">
        <x:v>|valor esperado - valor gerado|</x:v>
      </x:c>
      <x:c r="E6" s="150" t="str">
        <x:v>Menor</x:v>
      </x:c>
      <x:c r="F6" s="153" t="str">
        <x:v>Cálculo</x:v>
      </x:c>
    </x:row>
    <x:row r="7">
      <x:c r="A7" s="171" t="str">
        <x:v>Erro relativo</x:v>
      </x:c>
      <x:c r="B7" s="150" t="str">
        <x:v>Qualidade</x:v>
      </x:c>
      <x:c r="C7" s="150" t="str">
        <x:v>Automática</x:v>
      </x:c>
      <x:c r="D7" s="150" t="str">
        <x:v>|esperado - gerado| / |esperado|</x:v>
      </x:c>
      <x:c r="E7" s="150" t="str">
        <x:v>Menor</x:v>
      </x:c>
      <x:c r="F7" s="153" t="str">
        <x:v>Cálculo</x:v>
      </x:c>
    </x:row>
    <x:row r="8">
      <x:c r="A8" s="171" t="str">
        <x:v>Groundedness</x:v>
      </x:c>
      <x:c r="B8" s="150" t="str">
        <x:v>Qualidade</x:v>
      </x:c>
      <x:c r="C8" s="150" t="str">
        <x:v>Humana/automática</x:v>
      </x:c>
      <x:c r="D8" s="150" t="str">
        <x:v>Afirmações sustentadas / afirmações factuais</x:v>
      </x:c>
      <x:c r="E8" s="150" t="str">
        <x:v>Maior</x:v>
      </x:c>
      <x:c r="F8" s="153" t="str">
        <x:v>Interpretação/agente</x:v>
      </x:c>
    </x:row>
    <x:row r="9">
      <x:c r="A9" s="171" t="str">
        <x:v>Taxa de alucinação</x:v>
      </x:c>
      <x:c r="B9" s="150" t="str">
        <x:v>Qualidade</x:v>
      </x:c>
      <x:c r="C9" s="150" t="str">
        <x:v>Humana/automática</x:v>
      </x:c>
      <x:c r="D9" s="150" t="str">
        <x:v>Afirmações não sustentadas / afirmações factuais</x:v>
      </x:c>
      <x:c r="E9" s="150" t="str">
        <x:v>Menor</x:v>
      </x:c>
      <x:c r="F9" s="153" t="str">
        <x:v>Interpretação/agente</x:v>
      </x:c>
    </x:row>
    <x:row r="10">
      <x:c r="A10" s="171" t="str">
        <x:v>Relevância</x:v>
      </x:c>
      <x:c r="B10" s="150" t="str">
        <x:v>Qualidade</x:v>
      </x:c>
      <x:c r="C10" s="150" t="str">
        <x:v>Humana 1–5</x:v>
      </x:c>
      <x:c r="D10" s="150" t="str">
        <x:v>Quanto a resposta atende diretamente à pergunta</x:v>
      </x:c>
      <x:c r="E10" s="150" t="str">
        <x:v>Maior</x:v>
      </x:c>
      <x:c r="F10" s="153" t="str">
        <x:v>Todas</x:v>
      </x:c>
    </x:row>
    <x:row r="11">
      <x:c r="A11" s="171" t="str">
        <x:v>Clareza</x:v>
      </x:c>
      <x:c r="B11" s="150" t="str">
        <x:v>Qualidade</x:v>
      </x:c>
      <x:c r="C11" s="150" t="str">
        <x:v>Humana 1–5</x:v>
      </x:c>
      <x:c r="D11" s="150" t="str">
        <x:v>Organização, legibilidade e compreensão</x:v>
      </x:c>
      <x:c r="E11" s="150" t="str">
        <x:v>Maior</x:v>
      </x:c>
      <x:c r="F11" s="153" t="str">
        <x:v>Todas</x:v>
      </x:c>
    </x:row>
    <x:row r="12">
      <x:c r="A12" s="171" t="str">
        <x:v>Completude</x:v>
      </x:c>
      <x:c r="B12" s="150" t="str">
        <x:v>Qualidade</x:v>
      </x:c>
      <x:c r="C12" s="150" t="str">
        <x:v>Humana 1–5</x:v>
      </x:c>
      <x:c r="D12" s="150" t="str">
        <x:v>Se todos os elementos solicitados foram atendidos</x:v>
      </x:c>
      <x:c r="E12" s="150" t="str">
        <x:v>Maior</x:v>
      </x:c>
      <x:c r="F12" s="153" t="str">
        <x:v>Todas</x:v>
      </x:c>
    </x:row>
    <x:row r="13">
      <x:c r="A13" s="171" t="str">
        <x:v>Aderência às instruções</x:v>
      </x:c>
      <x:c r="B13" s="150" t="str">
        <x:v>Qualidade</x:v>
      </x:c>
      <x:c r="C13" s="150" t="str">
        <x:v>Automática/humana</x:v>
      </x:c>
      <x:c r="D13" s="150" t="str">
        <x:v>Requisitos atendidos / requisitos avaliados</x:v>
      </x:c>
      <x:c r="E13" s="150" t="str">
        <x:v>Maior</x:v>
      </x:c>
      <x:c r="F13" s="153" t="str">
        <x:v>Todas</x:v>
      </x:c>
    </x:row>
    <x:row r="14">
      <x:c r="A14" s="171" t="str">
        <x:v>Consistência</x:v>
      </x:c>
      <x:c r="B14" s="150" t="str">
        <x:v>Robustez</x:v>
      </x:c>
      <x:c r="C14" s="150" t="str">
        <x:v>Automática</x:v>
      </x:c>
      <x:c r="D14" s="150" t="str">
        <x:v>Frequência da resposta predominante / repetições</x:v>
      </x:c>
      <x:c r="E14" s="150" t="str">
        <x:v>Maior</x:v>
      </x:c>
      <x:c r="F14" s="153" t="str">
        <x:v>Repetições</x:v>
      </x:c>
    </x:row>
    <x:row r="15">
      <x:c r="A15" s="171" t="str">
        <x:v>Latência</x:v>
      </x:c>
      <x:c r="B15" s="150" t="str">
        <x:v>Eficiência</x:v>
      </x:c>
      <x:c r="C15" s="150" t="str">
        <x:v>Automática</x:v>
      </x:c>
      <x:c r="D15" s="150" t="str">
        <x:v>Tempo entre requisição e resposta</x:v>
      </x:c>
      <x:c r="E15" s="150" t="str">
        <x:v>Menor</x:v>
      </x:c>
      <x:c r="F15" s="153" t="str">
        <x:v>Todas</x:v>
      </x:c>
    </x:row>
    <x:row r="16">
      <x:c r="A16" s="171" t="str">
        <x:v>Tokens de entrada</x:v>
      </x:c>
      <x:c r="B16" s="150" t="str">
        <x:v>Eficiência</x:v>
      </x:c>
      <x:c r="C16" s="150" t="str">
        <x:v>Automática</x:v>
      </x:c>
      <x:c r="D16" s="150" t="str">
        <x:v>Contagem informada pelo provedor</x:v>
      </x:c>
      <x:c r="E16" s="150" t="str">
        <x:v>Menor</x:v>
      </x:c>
      <x:c r="F16" s="153" t="str">
        <x:v>Todas</x:v>
      </x:c>
    </x:row>
    <x:row r="17">
      <x:c r="A17" s="171" t="str">
        <x:v>Tokens de saída</x:v>
      </x:c>
      <x:c r="B17" s="150" t="str">
        <x:v>Eficiência</x:v>
      </x:c>
      <x:c r="C17" s="150" t="str">
        <x:v>Automática</x:v>
      </x:c>
      <x:c r="D17" s="150" t="str">
        <x:v>Contagem informada pelo provedor</x:v>
      </x:c>
      <x:c r="E17" s="150" t="str">
        <x:v>Menor</x:v>
      </x:c>
      <x:c r="F17" s="153" t="str">
        <x:v>Todas</x:v>
      </x:c>
    </x:row>
    <x:row r="18">
      <x:c r="A18" s="171" t="str">
        <x:v>Custo estimado</x:v>
      </x:c>
      <x:c r="B18" s="150" t="str">
        <x:v>Eficiência</x:v>
      </x:c>
      <x:c r="C18" s="150" t="str">
        <x:v>Automática</x:v>
      </x:c>
      <x:c r="D18" s="150" t="str">
        <x:v>Custo entrada + saída segundo tabela registrada</x:v>
      </x:c>
      <x:c r="E18" s="150" t="str">
        <x:v>Menor</x:v>
      </x:c>
      <x:c r="F18" s="153" t="str">
        <x:v>Todas</x:v>
      </x:c>
    </x:row>
    <x:row r="19">
      <x:c r="A19" s="171" t="str">
        <x:v>Tool Selection Accuracy</x:v>
      </x:c>
      <x:c r="B19" s="150" t="str">
        <x:v>Agente</x:v>
      </x:c>
      <x:c r="C19" s="150" t="str">
        <x:v>Automática</x:v>
      </x:c>
      <x:c r="D19" s="150" t="str">
        <x:v>Ferramentas corretas / decisões avaliadas</x:v>
      </x:c>
      <x:c r="E19" s="150" t="str">
        <x:v>Maior</x:v>
      </x:c>
      <x:c r="F19" s="153" t="str">
        <x:v>Uso de ferramenta</x:v>
      </x:c>
    </x:row>
    <x:row r="20">
      <x:c r="A20" s="171" t="str">
        <x:v>Tool Execution Success</x:v>
      </x:c>
      <x:c r="B20" s="150" t="str">
        <x:v>Agente</x:v>
      </x:c>
      <x:c r="C20" s="150" t="str">
        <x:v>Automática</x:v>
      </x:c>
      <x:c r="D20" s="150" t="str">
        <x:v>Execuções bem-sucedidas / tentativas</x:v>
      </x:c>
      <x:c r="E20" s="150" t="str">
        <x:v>Maior</x:v>
      </x:c>
      <x:c r="F20" s="153" t="str">
        <x:v>Uso de ferramenta</x:v>
      </x:c>
    </x:row>
    <x:row r="21">
      <x:c r="A21" s="171" t="str">
        <x:v>Data Grounding Accuracy</x:v>
      </x:c>
      <x:c r="B21" s="150" t="str">
        <x:v>Agente</x:v>
      </x:c>
      <x:c r="C21" s="150" t="str">
        <x:v>Humana/automática</x:v>
      </x:c>
      <x:c r="D21" s="150" t="str">
        <x:v>Uso correto dos valores retornados pelas ferramentas</x:v>
      </x:c>
      <x:c r="E21" s="150" t="str">
        <x:v>Maior</x:v>
      </x:c>
      <x:c r="F21" s="153" t="str">
        <x:v>Uso de ferramenta</x:v>
      </x:c>
    </x:row>
    <x:row r="22">
      <x:c r="A22" s="172" t="str">
        <x:v>Task Success Rate</x:v>
      </x:c>
      <x:c r="B22" s="154" t="str">
        <x:v>Agente</x:v>
      </x:c>
      <x:c r="C22" s="154" t="str">
        <x:v>Automática/humana</x:v>
      </x:c>
      <x:c r="D22" s="154" t="str">
        <x:v>Tarefas concluídas corretamente / total</x:v>
      </x:c>
      <x:c r="E22" s="154" t="str">
        <x:v>Maior</x:v>
      </x:c>
      <x:c r="F22" s="157" t="str">
        <x:v>Uso de ferramenta</x:v>
      </x:c>
    </x:row>
    <x:row r="26">
      <x:c r="A26" s="11" t="str">
        <x:v>Escala humana sugerida (1–5)</x:v>
      </x:c>
      <x:c r="B26" s="11"/>
      <x:c r="C26" s="11"/>
      <x:c r="D26" s="11"/>
      <x:c r="E26" s="11"/>
      <x:c r="F26" s="11"/>
    </x:row>
    <x:row r="27" ht="28" customHeight="1">
      <x:c r="A27" s="58" t="str">
        <x:v>Nota</x:v>
      </x:c>
      <x:c r="B27" s="59" t="str">
        <x:v>Relevância</x:v>
      </x:c>
      <x:c r="C27" s="59" t="str">
        <x:v>Clareza</x:v>
      </x:c>
      <x:c r="D27" s="59" t="str">
        <x:v>Completude</x:v>
      </x:c>
      <x:c r="E27" s="59" t="str">
        <x:v>Precisão percebida</x:v>
      </x:c>
      <x:c r="F27" s="60" t="str">
        <x:v>Observação</x:v>
      </x:c>
    </x:row>
    <x:row r="28">
      <x:c r="A28" s="170" t="n">
        <x:v>1</x:v>
      </x:c>
      <x:c r="B28" s="146" t="str">
        <x:v>Não responde à questão</x:v>
      </x:c>
      <x:c r="C28" s="146" t="str">
        <x:v>Muito confusa</x:v>
      </x:c>
      <x:c r="D28" s="146" t="str">
        <x:v>Quase tudo ausente</x:v>
      </x:c>
      <x:c r="E28" s="146" t="str">
        <x:v>Claramente incorreta</x:v>
      </x:c>
      <x:c r="F28" s="149" t="str"/>
    </x:row>
    <x:row r="29">
      <x:c r="A29" s="171" t="n">
        <x:v>2</x:v>
      </x:c>
      <x:c r="B29" s="150" t="str">
        <x:v>Responde pouco</x:v>
      </x:c>
      <x:c r="C29" s="150" t="str">
        <x:v>Confusa</x:v>
      </x:c>
      <x:c r="D29" s="150" t="str">
        <x:v>Vários elementos ausentes</x:v>
      </x:c>
      <x:c r="E29" s="150" t="str">
        <x:v>Muitos problemas</x:v>
      </x:c>
      <x:c r="F29" s="153" t="str"/>
    </x:row>
    <x:row r="30">
      <x:c r="A30" s="171" t="n">
        <x:v>3</x:v>
      </x:c>
      <x:c r="B30" s="150" t="str">
        <x:v>Responde o principal</x:v>
      </x:c>
      <x:c r="C30" s="150" t="str">
        <x:v>Compreensível</x:v>
      </x:c>
      <x:c r="D30" s="150" t="str">
        <x:v>Elementos principais presentes</x:v>
      </x:c>
      <x:c r="E30" s="150" t="str">
        <x:v>Aceitável com ressalvas</x:v>
      </x:c>
      <x:c r="F30" s="153" t="str"/>
    </x:row>
    <x:row r="31">
      <x:c r="A31" s="171" t="n">
        <x:v>4</x:v>
      </x:c>
      <x:c r="B31" s="150" t="str">
        <x:v>Direta e pertinente</x:v>
      </x:c>
      <x:c r="C31" s="150" t="str">
        <x:v>Clara</x:v>
      </x:c>
      <x:c r="D31" s="150" t="str">
        <x:v>Praticamente completa</x:v>
      </x:c>
      <x:c r="E31" s="150" t="str">
        <x:v>Majoritariamente correta</x:v>
      </x:c>
      <x:c r="F31" s="153" t="str"/>
    </x:row>
    <x:row r="32">
      <x:c r="A32" s="172" t="n">
        <x:v>5</x:v>
      </x:c>
      <x:c r="B32" s="154" t="str">
        <x:v>Totalmente alinhada</x:v>
      </x:c>
      <x:c r="C32" s="154" t="str">
        <x:v>Muito clara</x:v>
      </x:c>
      <x:c r="D32" s="154" t="str">
        <x:v>Completa</x:v>
      </x:c>
      <x:c r="E32" s="154" t="str">
        <x:v>Correta e sustentada</x:v>
      </x:c>
      <x:c r="F32" s="157" t="str"/>
    </x:row>
  </x:sheetData>
  <x:mergeCells>
    <x:mergeCell ref="A1:F1"/>
    <x:mergeCell ref="A26:F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62" hidden="0" customWidth="1"/>
    <x:col min="5" max="5" width="48" hidden="0" customWidth="1"/>
    <x:col min="6" max="6" width="18" hidden="0" customWidth="1"/>
    <x:col min="7" max="7" width="42" hidden="0" customWidth="1"/>
  </x:cols>
  <x:sheetData>
    <x:row r="1" ht="28" customHeight="1">
      <x:c r="A1" s="5" t="str">
        <x:v>Fontes e Proveniência dos Dados</x:v>
      </x:c>
    </x:row>
    <x:row r="3" ht="28" customHeight="1">
      <x:c r="A3" s="58" t="str">
        <x:v>ID_Fonte</x:v>
      </x:c>
      <x:c r="B3" s="59" t="str">
        <x:v>Nome</x:v>
      </x:c>
      <x:c r="C3" s="59" t="str">
        <x:v>Tipo de Dado</x:v>
      </x:c>
      <x:c r="D3" s="59" t="str">
        <x:v>URL</x:v>
      </x:c>
      <x:c r="E3" s="59" t="str">
        <x:v>Uso na Pesquisa</x:v>
      </x:c>
      <x:c r="F3" s="59" t="str">
        <x:v>Data_Verificação</x:v>
      </x:c>
      <x:c r="G3" s="60" t="str">
        <x:v>Observações</x:v>
      </x:c>
    </x:row>
    <x:row r="4">
      <x:c r="A4" s="170" t="str">
        <x:v>SRC001</x:v>
      </x:c>
      <x:c r="B4" s="146" t="str">
        <x:v>Brapi</x:v>
      </x:c>
      <x:c r="C4" s="146" t="str">
        <x:v>Cotações/histórico de ativos da B3</x:v>
      </x:c>
      <x:c r="D4" s="146" t="str">
        <x:v>https://brapi.dev/docs</x:v>
      </x:c>
      <x:c r="E4" s="146" t="str">
        <x:v>OHLCV e histórico de ações/FIIs quando disponível</x:v>
      </x:c>
      <x:c r="F4" s="176" t="n">
        <x:v>46258</x:v>
      </x:c>
      <x:c r="G4" s="149" t="str">
        <x:v>Registrar endpoint e parâmetros usados na coleta.</x:v>
      </x:c>
    </x:row>
    <x:row r="5">
      <x:c r="A5" s="171" t="str">
        <x:v>SRC002</x:v>
      </x:c>
      <x:c r="B5" s="150" t="str">
        <x:v>CVM — Informe Mensal de FII</x:v>
      </x:c>
      <x:c r="C5" s="150" t="str">
        <x:v>Dados periódicos oficiais de FIIs</x:v>
      </x:c>
      <x:c r="D5" s="150" t="str">
        <x:v>https://dados.cvm.gov.br/dataset/fii-doc-inf_mensal</x:v>
      </x:c>
      <x:c r="E5" s="150" t="str">
        <x:v>Patrimônio, cotistas, cotas e informações periódicas</x:v>
      </x:c>
      <x:c r="F5" s="177" t="n">
        <x:v>46258</x:v>
      </x:c>
      <x:c r="G5" s="153" t="str">
        <x:v>Preferir esta fonte para dados regulatórios dos FIIs.</x:v>
      </x:c>
    </x:row>
    <x:row r="6">
      <x:c r="A6" s="171" t="str">
        <x:v>SRC003</x:v>
      </x:c>
      <x:c r="B6" s="150" t="str">
        <x:v>CVM — Arquivos de Informe Mensal</x:v>
      </x:c>
      <x:c r="C6" s="150" t="str">
        <x:v>Arquivos anuais ZIP</x:v>
      </x:c>
      <x:c r="D6" s="150" t="str">
        <x:v>https://dados.cvm.gov.br/dados/FII/DOC/INF_MENSAL/DADOS/</x:v>
      </x:c>
      <x:c r="E6" s="150" t="str">
        <x:v>Download dos arquivos históricos do informe mensal</x:v>
      </x:c>
      <x:c r="F6" s="177" t="n">
        <x:v>46258</x:v>
      </x:c>
      <x:c r="G6" s="153" t="str"/>
    </x:row>
    <x:row r="7">
      <x:c r="A7" s="172" t="str">
        <x:v>SRC004</x:v>
      </x:c>
      <x:c r="B7" s="154" t="str">
        <x:v>B3</x:v>
      </x:c>
      <x:c r="C7" s="154" t="str">
        <x:v>Índices e informações de mercado</x:v>
      </x:c>
      <x:c r="D7" s="154" t="str">
        <x:v>https://www.b3.com.br/pt_br/market-data-e-indices/indices/</x:v>
      </x:c>
      <x:c r="E7" s="154" t="str">
        <x:v>Referência para IBOV/IFIX e validação de mercado</x:v>
      </x:c>
      <x:c r="F7" s="178" t="n">
        <x:v>46258</x:v>
      </x:c>
      <x:c r="G7" s="157" t="str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4" max="4" width="20" hidden="0" customWidth="1"/>
    <x:col min="5" max="5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Resumo do Dataset Experimental</x:v>
      </x:c>
    </x:row>
    <x:row r="3" ht="28" customHeight="1">
      <x:c r="A3" s="58" t="str">
        <x:v>Indicador</x:v>
      </x:c>
      <x:c r="B3" s="60" t="str">
        <x:v>Valor</x:v>
      </x:c>
      <x:c r="D3" s="58" t="str">
        <x:v>Categoria</x:v>
      </x:c>
      <x:c r="E3" s="60" t="str">
        <x:v>Qtd. planejada</x:v>
      </x:c>
      <x:c r="G3" s="58" t="str">
        <x:v>Dificuldade</x:v>
      </x:c>
      <x:c r="H3" s="60" t="str">
        <x:v>Qtd. planejada</x:v>
      </x:c>
    </x:row>
    <x:row r="4">
      <x:c r="A4" s="188" t="str">
        <x:v>Ativos cadastrados</x:v>
      </x:c>
      <x:c r="B4" s="85" t="n">
        <x:f>COUNTA(Ativos!A4:A100)</x:f>
        <x:v>12</x:v>
      </x:c>
      <x:c r="D4" s="83" t="str">
        <x:v>factual</x:v>
      </x:c>
      <x:c r="E4" s="85" t="n">
        <x:f>COUNTIF(Perguntas!$B$4:$B$33,D4)</x:f>
        <x:v>6</x:v>
      </x:c>
      <x:c r="G4" s="83" t="str">
        <x:v>Fácil</x:v>
      </x:c>
      <x:c r="H4" s="85" t="n">
        <x:f>COUNTIF(Perguntas!$C$4:$C$33,G4)</x:f>
        <x:v>10</x:v>
      </x:c>
    </x:row>
    <x:row r="5">
      <x:c r="A5" s="189" t="str">
        <x:v>Linhas de mercado preenchidas</x:v>
      </x:c>
      <x:c r="B5" s="88" t="n">
        <x:f>COUNTIF(Dados_Mercado!B4:B303,"&lt;&gt;")</x:f>
        <x:v>0</x:v>
      </x:c>
      <x:c r="D5" s="86" t="str">
        <x:v>calculation</x:v>
      </x:c>
      <x:c r="E5" s="88" t="n">
        <x:f>COUNTIF(Perguntas!$B$4:$B$33,D5)</x:f>
        <x:v>6</x:v>
      </x:c>
      <x:c r="G5" s="86" t="str">
        <x:v>Média</x:v>
      </x:c>
      <x:c r="H5" s="88" t="n">
        <x:f>COUNTIF(Perguntas!$C$4:$C$33,G5)</x:f>
        <x:v>10</x:v>
      </x:c>
    </x:row>
    <x:row r="6">
      <x:c r="A6" s="189" t="str">
        <x:v>Linhas FII/CVM preenchidas</x:v>
      </x:c>
      <x:c r="B6" s="88" t="n">
        <x:f>COUNTIF(Dados_FII_CVM!B4:B153,"&lt;&gt;")</x:f>
        <x:v>0</x:v>
      </x:c>
      <x:c r="D6" s="86" t="str">
        <x:v>comparison</x:v>
      </x:c>
      <x:c r="E6" s="88" t="n">
        <x:f>COUNTIF(Perguntas!$B$4:$B$33,D6)</x:f>
        <x:v>6</x:v>
      </x:c>
      <x:c r="G6" s="89" t="str">
        <x:v>Difícil</x:v>
      </x:c>
      <x:c r="H6" s="91" t="n">
        <x:f>COUNTIF(Perguntas!$C$4:$C$33,G6)</x:f>
        <x:v>10</x:v>
      </x:c>
    </x:row>
    <x:row r="7">
      <x:c r="A7" s="189" t="str">
        <x:v>Questões planejadas</x:v>
      </x:c>
      <x:c r="B7" s="88" t="n">
        <x:f>COUNTA(Perguntas!A4:A33)</x:f>
        <x:v>30</x:v>
      </x:c>
      <x:c r="D7" s="86" t="str">
        <x:v>interpretation</x:v>
      </x:c>
      <x:c r="E7" s="88" t="n">
        <x:f>COUNTIF(Perguntas!$B$4:$B$33,D7)</x:f>
        <x:v>6</x:v>
      </x:c>
    </x:row>
    <x:row r="8">
      <x:c r="A8" s="189" t="str">
        <x:v>Questões prontas/validadas</x:v>
      </x:c>
      <x:c r="B8" s="88" t="n">
        <x:f>COUNTIF(Perguntas!AC4:AC33,"Pronto")+COUNTIF(Perguntas!AC4:AC33,"Validado")+COUNTIF(Perguntas!AC4:AC33,"Congelado")</x:f>
        <x:v>0</x:v>
      </x:c>
      <x:c r="D8" s="89" t="str">
        <x:v>tool_use</x:v>
      </x:c>
      <x:c r="E8" s="91" t="n">
        <x:f>COUNTIF(Perguntas!$B$4:$B$33,D8)</x:f>
        <x:v>6</x:v>
      </x:c>
    </x:row>
    <x:row r="9">
      <x:c r="A9" s="190" t="str">
        <x:v>Questões congeladas</x:v>
      </x:c>
      <x:c r="B9" s="91" t="n">
        <x:f>COUNTIF(Perguntas!AC4:AC33,"Congelado")</x:f>
        <x:v>0</x:v>
      </x:c>
    </x:row>
    <x:row r="12">
      <x:c r="A12" s="11" t="str">
        <x:v>Checklist antes de congelar o dataset</x:v>
      </x:c>
      <x:c r="B12" s="11"/>
      <x:c r="C12" s="11"/>
      <x:c r="D12" s="11"/>
      <x:c r="E12" s="11"/>
      <x:c r="F12" s="11"/>
      <x:c r="G12" s="11"/>
      <x:c r="H12" s="11"/>
    </x:row>
    <x:row r="13">
      <x:c r="A13" s="188" t="str">
        <x:v>1</x:v>
      </x:c>
      <x:c r="B13" s="85" t="str">
        <x:v>Ativos e índices definidos</x:v>
      </x:c>
    </x:row>
    <x:row r="14">
      <x:c r="A14" s="189" t="str">
        <x:v>2</x:v>
      </x:c>
      <x:c r="B14" s="88" t="str">
        <x:v>Período histórico definido</x:v>
      </x:c>
    </x:row>
    <x:row r="15">
      <x:c r="A15" s="189" t="str">
        <x:v>3</x:v>
      </x:c>
      <x:c r="B15" s="88" t="str">
        <x:v>Dados brutos coletados e fontes registradas</x:v>
      </x:c>
    </x:row>
    <x:row r="16">
      <x:c r="A16" s="189" t="str">
        <x:v>4</x:v>
      </x:c>
      <x:c r="B16" s="88" t="str">
        <x:v>Snapshots validados</x:v>
      </x:c>
    </x:row>
    <x:row r="17">
      <x:c r="A17" s="189" t="str">
        <x:v>5</x:v>
      </x:c>
      <x:c r="B17" s="88" t="str">
        <x:v>30 perguntas preenchidas</x:v>
      </x:c>
    </x:row>
    <x:row r="18">
      <x:c r="A18" s="189" t="str">
        <x:v>6</x:v>
      </x:c>
      <x:c r="B18" s="88" t="str">
        <x:v>Gabaritos automáticos conferidos</x:v>
      </x:c>
    </x:row>
    <x:row r="19">
      <x:c r="A19" s="189" t="str">
        <x:v>7</x:v>
      </x:c>
      <x:c r="B19" s="88" t="str">
        <x:v>Rubrica revisada</x:v>
      </x:c>
    </x:row>
    <x:row r="20">
      <x:c r="A20" s="190" t="str">
        <x:v>8</x:v>
      </x:c>
      <x:c r="B20" s="91" t="str">
        <x:v>Versões de prompt congeladas</x:v>
      </x:c>
    </x:row>
  </x:sheetData>
  <x:mergeCells>
    <x:mergeCell ref="A1:N1"/>
    <x:mergeCell ref="A12:H12"/>
  </x:mergeCells>
  <x:pageMargins left="0.7" right="0.7" top="0.75" bottom="0.75" header="0.3" footer="0.3"/>
  <x:drawing xmlns:r="http://schemas.openxmlformats.org/officeDocument/2006/relationships" r:id="Re6f236ffcba04de8"/>
</x:worksheet>
</file>